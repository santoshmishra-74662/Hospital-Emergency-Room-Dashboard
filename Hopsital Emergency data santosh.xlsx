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202300"/>
  <mc:AlternateContent xmlns:mc="http://schemas.openxmlformats.org/markup-compatibility/2006">
    <mc:Choice Requires="x15">
      <x15ac:absPath xmlns:x15ac="http://schemas.microsoft.com/office/spreadsheetml/2010/11/ac" url="https://myoffice.accenture.com/personal/santosh_anand_mishra_accenture_com/Documents/Documents/"/>
    </mc:Choice>
  </mc:AlternateContent>
  <xr:revisionPtr revIDLastSave="631" documentId="8_{1642C781-9F86-4B0E-AAE1-F4AF33E00777}" xr6:coauthVersionLast="47" xr6:coauthVersionMax="47" xr10:uidLastSave="{7A1B2745-59C9-414C-A87E-E0C83DC3314A}"/>
  <bookViews>
    <workbookView xWindow="-110" yWindow="-110" windowWidth="19420" windowHeight="11500" tabRatio="858" activeTab="1" xr2:uid="{549AB4DA-4264-4710-BD58-03FD795E1359}"/>
  </bookViews>
  <sheets>
    <sheet name="Pivot Report" sheetId="1" r:id="rId1"/>
    <sheet name="Dashboard" sheetId="2" r:id="rId2"/>
    <sheet name="ER Daily no of patient" sheetId="3" r:id="rId3"/>
    <sheet name="Average Wait Time" sheetId="4" r:id="rId4"/>
    <sheet name="Satisfaction Score" sheetId="5" r:id="rId5"/>
  </sheets>
  <definedNames>
    <definedName name="Slicer_Date__Month">#N/A</definedName>
    <definedName name="Slicer_Date__Year">#N/A</definedName>
  </definedNames>
  <calcPr calcId="191029"/>
  <pivotCaches>
    <pivotCache cacheId="786" r:id="rId6"/>
    <pivotCache cacheId="789" r:id="rId7"/>
    <pivotCache cacheId="792" r:id="rId8"/>
    <pivotCache cacheId="795" r:id="rId9"/>
    <pivotCache cacheId="798" r:id="rId10"/>
    <pivotCache cacheId="801" r:id="rId11"/>
    <pivotCache cacheId="804" r:id="rId12"/>
    <pivotCache cacheId="807" r:id="rId13"/>
    <pivotCache cacheId="810" r:id="rId14"/>
    <pivotCache cacheId="813" r:id="rId15"/>
    <pivotCache cacheId="816" r:id="rId16"/>
    <pivotCache cacheId="819" r:id="rId17"/>
  </pivotCaches>
  <fileRecoveryPr repairLoad="1"/>
  <extLst>
    <ext xmlns:x14="http://schemas.microsoft.com/office/spreadsheetml/2009/9/main" uri="{876F7934-8845-4945-9796-88D515C7AA90}">
      <x14:pivotCaches>
        <pivotCache cacheId="611"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3df8de16-ebea-4bc5-a22f-6d249b257b9e" name="Hospital Emergency Room Data" connection="Query - Hospital Emergency Room Data"/>
          <x15:modelTable id="Calender Table_7323ba09-717a-4776-bafd-f9cccc8f96ab" name="Calender Table" connection="Query - Calender Table"/>
        </x15:modelTables>
        <x15:modelRelationships>
          <x15:modelRelationship fromTable="Hospital Emergency Room Data" fromColumn="Patient Admission Date.1" toTable="Calender Table" toColumn="Date"/>
        </x15:modelRelationships>
        <x15:extLst>
          <ext xmlns:x16="http://schemas.microsoft.com/office/spreadsheetml/2014/11/main" uri="{9835A34E-60A6-4A7C-AAB8-D5F71C897F49}">
            <x16:modelTimeGroupings>
              <x16:modelTimeGrouping tableName="Calender 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2" i="1" l="1"/>
  <c r="B32" i="1"/>
  <c r="C32" i="1"/>
  <c r="B33" i="1"/>
  <c r="C33" i="1"/>
  <c r="A3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C4392F9-501C-4FCC-A729-8DE1F3801F8A}" name="Query - Calender Table" description="Connection to the 'Calender Table' query in the workbook." type="100" refreshedVersion="8" minRefreshableVersion="5">
    <extLst>
      <ext xmlns:x15="http://schemas.microsoft.com/office/spreadsheetml/2010/11/main" uri="{DE250136-89BD-433C-8126-D09CA5730AF9}">
        <x15:connection id="f5091735-afe4-4d9e-9b03-9c07f44427ef">
          <x15:oledbPr connection="Provider=Microsoft.Mashup.OleDb.1;Data Source=$Workbook$;Location=&quot;Calender Table&quot;;Extended Properties=&quot;&quot;">
            <x15:dbTables>
              <x15:dbTable name="Calender Table"/>
            </x15:dbTables>
          </x15:oledbPr>
        </x15:connection>
      </ext>
    </extLst>
  </connection>
  <connection id="2" xr16:uid="{CBD6303B-0BE9-46DC-BC64-719F647EBEEB}"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cdbf90c2-46a3-4928-afd3-f5ad061322a6"/>
      </ext>
    </extLst>
  </connection>
  <connection id="3" xr16:uid="{B1B45BD6-A86E-4505-BD9E-C356891769D1}"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<sst xmlns="http://schemas.openxmlformats.org/spreadsheetml/2006/main" count="94" uniqueCount="56">
  <si>
    <t>Distinct Count of Patient Id</t>
  </si>
  <si>
    <t xml:space="preserve">No of Patient </t>
  </si>
  <si>
    <t>Average of Patient Waittime</t>
  </si>
  <si>
    <t>Average of Patient Satisfaction Score</t>
  </si>
  <si>
    <t xml:space="preserve"> </t>
  </si>
  <si>
    <t>Row Labels</t>
  </si>
  <si>
    <t>Grand Total</t>
  </si>
  <si>
    <t>4-Jan</t>
  </si>
  <si>
    <t>5-Jan</t>
  </si>
  <si>
    <t>6-Jan</t>
  </si>
  <si>
    <t>7-Jan</t>
  </si>
  <si>
    <t>8-Jan</t>
  </si>
  <si>
    <t>9-Jan</t>
  </si>
  <si>
    <t>10-Jan</t>
  </si>
  <si>
    <t>11-Jan</t>
  </si>
  <si>
    <t>12-Jan</t>
  </si>
  <si>
    <t>Daily Trends no of patient ER</t>
  </si>
  <si>
    <t>Avg Wait Time</t>
  </si>
  <si>
    <t>Average Wait Time For Patient</t>
  </si>
  <si>
    <t>Average of Satisfaction score</t>
  </si>
  <si>
    <t>Admitted</t>
  </si>
  <si>
    <t>Not Admitted</t>
  </si>
  <si>
    <t>Count of Patient Admission Flag</t>
  </si>
  <si>
    <t>Count of Patient Admission Flag2</t>
  </si>
  <si>
    <t>Admisson Status</t>
  </si>
  <si>
    <t>% Status</t>
  </si>
  <si>
    <t>No of Patient</t>
  </si>
  <si>
    <t>0-09</t>
  </si>
  <si>
    <t>10-19</t>
  </si>
  <si>
    <t>20-29</t>
  </si>
  <si>
    <t>30-39</t>
  </si>
  <si>
    <t>40-49</t>
  </si>
  <si>
    <t>50-59</t>
  </si>
  <si>
    <t>60-69</t>
  </si>
  <si>
    <t>70-79</t>
  </si>
  <si>
    <t>Count of Age Group</t>
  </si>
  <si>
    <t>Female</t>
  </si>
  <si>
    <t>None</t>
  </si>
  <si>
    <t>Delay</t>
  </si>
  <si>
    <t>Male</t>
  </si>
  <si>
    <t>Ontime</t>
  </si>
  <si>
    <t>General Practice</t>
  </si>
  <si>
    <t>Orthopedics</t>
  </si>
  <si>
    <t>Physiotherapy</t>
  </si>
  <si>
    <t>Cardiology</t>
  </si>
  <si>
    <t>Gastroenterology</t>
  </si>
  <si>
    <t>Neurology</t>
  </si>
  <si>
    <t>Age Group analysis</t>
  </si>
  <si>
    <t>Count of Patient Attend Status</t>
  </si>
  <si>
    <t>Count of Patient Gender</t>
  </si>
  <si>
    <t>Gender Analysis</t>
  </si>
  <si>
    <t>Count of Department Referral</t>
  </si>
  <si>
    <t>Renal</t>
  </si>
  <si>
    <t xml:space="preserve">Department reffral </t>
  </si>
  <si>
    <t>2023</t>
  </si>
  <si>
    <t>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</si>
</sst>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Aptos Narrow"/>
      <family val="2"/>
      <scheme val="minor"/>
    </font>
    <font>
      <sz val="24"/>
      <color theme="1"/>
      <name val="Aptos Narrow"/>
      <family val="2"/>
      <scheme val="minor"/>
    </font>
    <font>
      <sz val="11"/>
      <color theme="1"/>
      <name val="Aptos Narrow"/>
      <family val="2"/>
      <scheme val="minor"/>
    </font>
  </fonts>
  <fills count="6">
    <fill>
      <patternFill patternType="none"/>
    </fill>
    <fill>
      <patternFill patternType="gray125"/>
    </fill>
    <fill>
      <patternFill patternType="solid">
        <fgColor theme="3" tint="0.89999084444715716"/>
        <bgColor indexed="64"/>
      </patternFill>
    </fill>
    <fill>
      <patternFill patternType="solid">
        <fgColor theme="2"/>
        <bgColor indexed="64"/>
      </patternFill>
    </fill>
    <fill>
      <patternFill patternType="solid">
        <fgColor theme="0" tint="-4.9989318521683403E-2"/>
        <bgColor indexed="64"/>
      </patternFill>
    </fill>
    <fill>
      <patternFill patternType="solid">
        <fgColor theme="4" tint="0.59999389629810485"/>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16">
    <xf numFmtId="0" fontId="0" fillId="0" borderId="0" xfId="0"/>
    <xf numFmtId="0" fontId="0" fillId="0" borderId="0" xfId="0" pivotButton="1"/>
    <xf numFmtId="2" fontId="0" fillId="0" borderId="0" xfId="0" applyNumberFormat="1"/>
    <xf numFmtId="0" fontId="0" fillId="2" borderId="0" xfId="0" applyFill="1"/>
    <xf numFmtId="0" fontId="0" fillId="0" borderId="0" xfId="0" applyAlignment="1">
      <alignment horizontal="left"/>
    </xf>
    <xf numFmtId="0" fontId="1" fillId="0" borderId="0" xfId="0" applyFont="1"/>
    <xf numFmtId="0" fontId="1" fillId="3" borderId="0" xfId="0" applyFont="1" applyFill="1"/>
    <xf numFmtId="0" fontId="0" fillId="3" borderId="0" xfId="0" applyFill="1"/>
    <xf numFmtId="0" fontId="0" fillId="0" borderId="0" xfId="0" applyNumberFormat="1"/>
    <xf numFmtId="1" fontId="0" fillId="0" borderId="0" xfId="0" applyNumberFormat="1"/>
    <xf numFmtId="10" fontId="0" fillId="0" borderId="0" xfId="0" applyNumberFormat="1"/>
    <xf numFmtId="0" fontId="0" fillId="4" borderId="0" xfId="0" applyFill="1"/>
    <xf numFmtId="0" fontId="0" fillId="5" borderId="0" xfId="0" applyFill="1"/>
    <xf numFmtId="0" fontId="0" fillId="5" borderId="0" xfId="0" applyFill="1" applyAlignment="1">
      <alignment horizontal="center"/>
    </xf>
    <xf numFmtId="0" fontId="0" fillId="4" borderId="0" xfId="0" applyFill="1" applyAlignment="1">
      <alignment horizontal="center"/>
    </xf>
    <xf numFmtId="9" fontId="0" fillId="4" borderId="0" xfId="1" applyFont="1" applyFill="1" applyAlignment="1">
      <alignment horizontal="center"/>
    </xf>
  </cellXfs>
  <cellStyles count="2">
    <cellStyle name="Normal" xfId="0" builtinId="0"/>
    <cellStyle name="Percent" xfId="1" builtinId="5"/>
  </cellStyles>
  <dxfs count="163">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1" formatCode="0"/>
    </dxf>
    <dxf>
      <numFmt numFmtId="1" formatCode="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1" formatCode="0"/>
    </dxf>
    <dxf>
      <numFmt numFmtId="1" formatCode="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1" formatCode="0"/>
    </dxf>
    <dxf>
      <numFmt numFmtId="1" formatCode="0"/>
    </dxf>
    <dxf>
      <numFmt numFmtId="2" formatCode="0.00"/>
    </dxf>
    <dxf>
      <numFmt numFmtId="1" formatCode="0"/>
    </dxf>
    <dxf>
      <numFmt numFmtId="2" formatCode="0.00"/>
    </dxf>
    <dxf>
      <font>
        <b/>
        <color theme="1"/>
      </font>
      <border>
        <bottom style="thin">
          <color theme="4"/>
        </bottom>
        <vertical/>
        <horizontal/>
      </border>
    </dxf>
    <dxf>
      <font>
        <sz val="6"/>
        <color theme="1"/>
      </font>
      <fill>
        <patternFill>
          <bgColor theme="0" tint="-4.9989318521683403E-2"/>
        </patternFill>
      </fill>
      <border diagonalUp="0" diagonalDown="0">
        <left/>
        <right/>
        <top/>
        <bottom/>
        <vertical/>
        <horizontal/>
      </border>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s>
  <tableStyles count="1" defaultTableStyle="TableStyleMedium2" defaultPivotStyle="PivotStyleLight16">
    <tableStyle name="My Style" pivot="0" table="0" count="10" xr9:uid="{DBF91FD1-82C4-4C4C-961C-927E78925C0B}">
      <tableStyleElement type="wholeTable" dxfId="52"/>
      <tableStyleElement type="headerRow" dxfId="51"/>
    </tableStyle>
  </tableStyles>
  <extLst>
    <ext xmlns:x14="http://schemas.microsoft.com/office/spreadsheetml/2009/9/main" uri="{46F421CA-312F-682f-3DD2-61675219B42D}">
      <x14:dxfs count="40">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8" Type="http://schemas.openxmlformats.org/officeDocument/2006/relationships/pivotCacheDefinition" Target="pivotCache/pivotCacheDefinition3.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[Hopsital Emergency data santosh.xlsx]Pivot Report!PivotTable5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077D22D-DCA3-46CB-B1A2-FFE7D0478DC3}" type="CELLRANGE">
                  <a:rPr lang="en-US"/>
                  <a:pPr>
                    <a:defRPr/>
                  </a:pPr>
                  <a:t>[CELLRANGE]</a:t>
                </a:fld>
                <a:endParaRPr lang="en-US"/>
              </a:p>
            </c:rich>
          </c:tx>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xForSave val="1"/>
              <c15:showDataLabelsRange val="1"/>
            </c:ext>
          </c:extLst>
        </c:dLbl>
      </c:pivotFmt>
      <c:pivotFmt>
        <c:idx val="3"/>
        <c:spPr>
          <a:solidFill>
            <a:schemeClr val="accent1"/>
          </a:solidFill>
          <a:ln>
            <a:noFill/>
          </a:ln>
          <a:effectLst/>
        </c:spPr>
        <c:dLbl>
          <c:idx val="0"/>
          <c:tx>
            <c:rich>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11EAD95-CD0D-4AA1-86F0-149FABBD16E7}" type="CELLRANGE">
                  <a:rPr lang="en-US"/>
                  <a:pPr>
                    <a:defRPr/>
                  </a:pPr>
                  <a:t>[CELLRANGE]</a:t>
                </a:fld>
                <a:endParaRPr lang="en-US"/>
              </a:p>
            </c:rich>
          </c:tx>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xForSave val="1"/>
              <c15:showDataLabelsRange val="1"/>
            </c:ext>
          </c:extLst>
        </c:dLbl>
      </c:pivotFmt>
    </c:pivotFmts>
    <c:plotArea>
      <c:layout>
        <c:manualLayout>
          <c:layoutTarget val="inner"/>
          <c:xMode val="edge"/>
          <c:yMode val="edge"/>
          <c:x val="1.1722739203054163E-2"/>
          <c:y val="1.2349772067965191E-3"/>
          <c:w val="0.74845351567896123"/>
          <c:h val="0.92858958419671223"/>
        </c:manualLayout>
      </c:layout>
      <c:barChart>
        <c:barDir val="bar"/>
        <c:grouping val="clustered"/>
        <c:varyColors val="0"/>
        <c:ser>
          <c:idx val="0"/>
          <c:order val="0"/>
          <c:tx>
            <c:strRef>
              <c:f>'Pivot Report'!$C$26:$C$27</c:f>
              <c:strCache>
                <c:ptCount val="1"/>
                <c:pt idx="0">
                  <c:v>Count of Patient Admission Flag</c:v>
                </c:pt>
              </c:strCache>
            </c:strRef>
          </c:tx>
          <c:spPr>
            <a:solidFill>
              <a:schemeClr val="accent1"/>
            </a:solidFill>
            <a:ln>
              <a:noFill/>
            </a:ln>
            <a:effectLst/>
          </c:spPr>
          <c:invertIfNegative val="0"/>
          <c:dLbls>
            <c:dLbl>
              <c:idx val="0"/>
              <c:tx>
                <c:rich>
                  <a:bodyPr/>
                  <a:lstStyle/>
                  <a:p>
                    <a:fld id="{E077D22D-DCA3-46CB-B1A2-FFE7D0478DC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D23F-4DBB-8131-AE19A53E9009}"/>
                </c:ext>
              </c:extLst>
            </c:dLbl>
            <c:dLbl>
              <c:idx val="1"/>
              <c:tx>
                <c:rich>
                  <a:bodyPr/>
                  <a:lstStyle/>
                  <a:p>
                    <a:fld id="{311EAD95-CD0D-4AA1-86F0-149FABBD16E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D23F-4DBB-8131-AE19A53E9009}"/>
                </c:ext>
              </c:extLst>
            </c:dLbl>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DataLabelsRange val="1"/>
                <c15:showLeaderLines val="0"/>
              </c:ext>
            </c:extLst>
          </c:dLbls>
          <c:cat>
            <c:strRef>
              <c:f>'Pivot Report'!$C$26:$C$27</c:f>
              <c:strCache>
                <c:ptCount val="2"/>
                <c:pt idx="0">
                  <c:v>Admitted</c:v>
                </c:pt>
                <c:pt idx="1">
                  <c:v>Not Admitted</c:v>
                </c:pt>
              </c:strCache>
            </c:strRef>
          </c:cat>
          <c:val>
            <c:numRef>
              <c:f>'Pivot Report'!$C$26:$C$27</c:f>
              <c:numCache>
                <c:formatCode>0</c:formatCode>
                <c:ptCount val="2"/>
                <c:pt idx="0">
                  <c:v>82</c:v>
                </c:pt>
                <c:pt idx="1">
                  <c:v>72</c:v>
                </c:pt>
              </c:numCache>
            </c:numRef>
          </c:val>
          <c:extLst>
            <c:ext xmlns:c15="http://schemas.microsoft.com/office/drawing/2012/chart" uri="{02D57815-91ED-43cb-92C2-25804820EDAC}">
              <c15:datalabelsRange>
                <c15:f>'Pivot Report'!$C$26:$C$27</c15:f>
                <c15:dlblRangeCache>
                  <c:ptCount val="2"/>
                  <c:pt idx="0">
                    <c:v>53.25%</c:v>
                  </c:pt>
                  <c:pt idx="1">
                    <c:v>46.75%</c:v>
                  </c:pt>
                </c15:dlblRangeCache>
              </c15:datalabelsRange>
            </c:ext>
            <c:ext xmlns:c16="http://schemas.microsoft.com/office/drawing/2014/chart" uri="{C3380CC4-5D6E-409C-BE32-E72D297353CC}">
              <c16:uniqueId val="{00000000-D23F-4DBB-8131-AE19A53E9009}"/>
            </c:ext>
          </c:extLst>
        </c:ser>
        <c:ser>
          <c:idx val="1"/>
          <c:order val="1"/>
          <c:tx>
            <c:strRef>
              <c:f>'Pivot Report'!$C$26:$C$27</c:f>
              <c:strCache>
                <c:ptCount val="1"/>
                <c:pt idx="0">
                  <c:v>Count of Patient Admission Flag2</c:v>
                </c:pt>
              </c:strCache>
            </c:strRef>
          </c:tx>
          <c:spPr>
            <a:solidFill>
              <a:schemeClr val="accent2"/>
            </a:solidFill>
            <a:ln>
              <a:noFill/>
            </a:ln>
            <a:effectLst/>
          </c:spPr>
          <c:invertIfNegative val="0"/>
          <c:cat>
            <c:strRef>
              <c:f>'Pivot Report'!$C$26:$C$27</c:f>
              <c:strCache>
                <c:ptCount val="2"/>
                <c:pt idx="0">
                  <c:v>Admitted</c:v>
                </c:pt>
                <c:pt idx="1">
                  <c:v>Not Admitted</c:v>
                </c:pt>
              </c:strCache>
            </c:strRef>
          </c:cat>
          <c:val>
            <c:numRef>
              <c:f>'Pivot Report'!$C$26:$C$27</c:f>
              <c:numCache>
                <c:formatCode>0.00%</c:formatCode>
                <c:ptCount val="2"/>
                <c:pt idx="0">
                  <c:v>0.53246753246753242</c:v>
                </c:pt>
                <c:pt idx="1">
                  <c:v>0.46753246753246752</c:v>
                </c:pt>
              </c:numCache>
            </c:numRef>
          </c:val>
          <c:extLst>
            <c:ext xmlns:c16="http://schemas.microsoft.com/office/drawing/2014/chart" uri="{C3380CC4-5D6E-409C-BE32-E72D297353CC}">
              <c16:uniqueId val="{00000001-D23F-4DBB-8131-AE19A53E9009}"/>
            </c:ext>
          </c:extLst>
        </c:ser>
        <c:dLbls>
          <c:showLegendKey val="0"/>
          <c:showVal val="0"/>
          <c:showCatName val="0"/>
          <c:showSerName val="0"/>
          <c:showPercent val="0"/>
          <c:showBubbleSize val="0"/>
        </c:dLbls>
        <c:gapWidth val="0"/>
        <c:overlap val="15"/>
        <c:axId val="1432320655"/>
        <c:axId val="1963853807"/>
      </c:barChart>
      <c:catAx>
        <c:axId val="1432320655"/>
        <c:scaling>
          <c:orientation val="minMax"/>
        </c:scaling>
        <c:delete val="1"/>
        <c:axPos val="l"/>
        <c:numFmt formatCode="General" sourceLinked="1"/>
        <c:majorTickMark val="none"/>
        <c:minorTickMark val="none"/>
        <c:tickLblPos val="nextTo"/>
        <c:crossAx val="1963853807"/>
        <c:crosses val="autoZero"/>
        <c:auto val="1"/>
        <c:lblAlgn val="ctr"/>
        <c:lblOffset val="100"/>
        <c:noMultiLvlLbl val="0"/>
      </c:catAx>
      <c:valAx>
        <c:axId val="1963853807"/>
        <c:scaling>
          <c:orientation val="minMax"/>
        </c:scaling>
        <c:delete val="1"/>
        <c:axPos val="b"/>
        <c:numFmt formatCode="0" sourceLinked="1"/>
        <c:majorTickMark val="none"/>
        <c:minorTickMark val="none"/>
        <c:tickLblPos val="nextTo"/>
        <c:crossAx val="14323206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[Hopsital Emergency data santosh.xlsx]Pivot Report!PivotTable4</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641327544337332E-3"/>
          <c:y val="0.32694838145231847"/>
          <c:w val="0.98501287806313931"/>
          <c:h val="0.66326716202728198"/>
        </c:manualLayout>
      </c:layout>
      <c:areaChart>
        <c:grouping val="standard"/>
        <c:varyColors val="0"/>
        <c:ser>
          <c:idx val="0"/>
          <c:order val="0"/>
          <c:tx>
            <c:strRef>
              <c:f>'Pivot Report'!$D$8</c:f>
              <c:strCache>
                <c:ptCount val="1"/>
                <c:pt idx="0">
                  <c:v>Total</c:v>
                </c:pt>
              </c:strCache>
            </c:strRef>
          </c:tx>
          <c:spPr>
            <a:solidFill>
              <a:schemeClr val="accent1"/>
            </a:solidFill>
            <a:ln>
              <a:noFill/>
            </a:ln>
            <a:effectLst/>
          </c:spPr>
          <c:cat>
            <c:strRef>
              <c:f>'Pivot Report'!$C$9:$C$18</c:f>
              <c:strCache>
                <c:ptCount val="9"/>
                <c:pt idx="0">
                  <c:v>4-Jan</c:v>
                </c:pt>
                <c:pt idx="1">
                  <c:v>5-Jan</c:v>
                </c:pt>
                <c:pt idx="2">
                  <c:v>6-Jan</c:v>
                </c:pt>
                <c:pt idx="3">
                  <c:v>7-Jan</c:v>
                </c:pt>
                <c:pt idx="4">
                  <c:v>8-Jan</c:v>
                </c:pt>
                <c:pt idx="5">
                  <c:v>9-Jan</c:v>
                </c:pt>
                <c:pt idx="6">
                  <c:v>10-Jan</c:v>
                </c:pt>
                <c:pt idx="7">
                  <c:v>11-Jan</c:v>
                </c:pt>
                <c:pt idx="8">
                  <c:v>12-Jan</c:v>
                </c:pt>
              </c:strCache>
            </c:strRef>
          </c:cat>
          <c:val>
            <c:numRef>
              <c:f>'Pivot Report'!$D$9:$D$18</c:f>
              <c:numCache>
                <c:formatCode>General</c:formatCode>
                <c:ptCount val="9"/>
                <c:pt idx="0">
                  <c:v>19</c:v>
                </c:pt>
                <c:pt idx="1">
                  <c:v>20</c:v>
                </c:pt>
                <c:pt idx="2">
                  <c:v>26</c:v>
                </c:pt>
                <c:pt idx="3">
                  <c:v>15</c:v>
                </c:pt>
                <c:pt idx="4">
                  <c:v>14</c:v>
                </c:pt>
                <c:pt idx="5">
                  <c:v>12</c:v>
                </c:pt>
                <c:pt idx="6">
                  <c:v>15</c:v>
                </c:pt>
                <c:pt idx="7">
                  <c:v>17</c:v>
                </c:pt>
                <c:pt idx="8">
                  <c:v>16</c:v>
                </c:pt>
              </c:numCache>
            </c:numRef>
          </c:val>
          <c:extLst>
            <c:ext xmlns:c16="http://schemas.microsoft.com/office/drawing/2014/chart" uri="{C3380CC4-5D6E-409C-BE32-E72D297353CC}">
              <c16:uniqueId val="{00000000-7455-469D-9347-B401C9897B4B}"/>
            </c:ext>
          </c:extLst>
        </c:ser>
        <c:dLbls>
          <c:showLegendKey val="0"/>
          <c:showVal val="0"/>
          <c:showCatName val="0"/>
          <c:showSerName val="0"/>
          <c:showPercent val="0"/>
          <c:showBubbleSize val="0"/>
        </c:dLbls>
        <c:axId val="452672880"/>
        <c:axId val="452671440"/>
      </c:areaChart>
      <c:catAx>
        <c:axId val="452672880"/>
        <c:scaling>
          <c:orientation val="minMax"/>
        </c:scaling>
        <c:delete val="1"/>
        <c:axPos val="b"/>
        <c:numFmt formatCode="General" sourceLinked="1"/>
        <c:majorTickMark val="out"/>
        <c:minorTickMark val="none"/>
        <c:tickLblPos val="nextTo"/>
        <c:crossAx val="452671440"/>
        <c:crosses val="autoZero"/>
        <c:auto val="1"/>
        <c:lblAlgn val="ctr"/>
        <c:lblOffset val="100"/>
        <c:noMultiLvlLbl val="0"/>
      </c:catAx>
      <c:valAx>
        <c:axId val="452671440"/>
        <c:scaling>
          <c:orientation val="minMax"/>
        </c:scaling>
        <c:delete val="1"/>
        <c:axPos val="l"/>
        <c:numFmt formatCode="General" sourceLinked="1"/>
        <c:majorTickMark val="none"/>
        <c:minorTickMark val="none"/>
        <c:tickLblPos val="nextTo"/>
        <c:crossAx val="45267288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[Hopsital Emergency data santosh.xlsx]Pivot Report!PivotTable6</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28298307539143813"/>
          <c:w val="1"/>
          <c:h val="0.70487011553462364"/>
        </c:manualLayout>
      </c:layout>
      <c:areaChart>
        <c:grouping val="standard"/>
        <c:varyColors val="0"/>
        <c:ser>
          <c:idx val="0"/>
          <c:order val="0"/>
          <c:tx>
            <c:strRef>
              <c:f>'Pivot Report'!$H$8</c:f>
              <c:strCache>
                <c:ptCount val="1"/>
                <c:pt idx="0">
                  <c:v>Total</c:v>
                </c:pt>
              </c:strCache>
            </c:strRef>
          </c:tx>
          <c:spPr>
            <a:solidFill>
              <a:schemeClr val="accent1"/>
            </a:solidFill>
            <a:ln>
              <a:noFill/>
            </a:ln>
            <a:effectLst/>
          </c:spPr>
          <c:cat>
            <c:strRef>
              <c:f>'Pivot Report'!$G$9:$G$18</c:f>
              <c:strCache>
                <c:ptCount val="9"/>
                <c:pt idx="0">
                  <c:v>4-Jan</c:v>
                </c:pt>
                <c:pt idx="1">
                  <c:v>5-Jan</c:v>
                </c:pt>
                <c:pt idx="2">
                  <c:v>6-Jan</c:v>
                </c:pt>
                <c:pt idx="3">
                  <c:v>7-Jan</c:v>
                </c:pt>
                <c:pt idx="4">
                  <c:v>8-Jan</c:v>
                </c:pt>
                <c:pt idx="5">
                  <c:v>9-Jan</c:v>
                </c:pt>
                <c:pt idx="6">
                  <c:v>10-Jan</c:v>
                </c:pt>
                <c:pt idx="7">
                  <c:v>11-Jan</c:v>
                </c:pt>
                <c:pt idx="8">
                  <c:v>12-Jan</c:v>
                </c:pt>
              </c:strCache>
            </c:strRef>
          </c:cat>
          <c:val>
            <c:numRef>
              <c:f>'Pivot Report'!$H$9:$H$18</c:f>
              <c:numCache>
                <c:formatCode>General</c:formatCode>
                <c:ptCount val="9"/>
                <c:pt idx="0">
                  <c:v>40.473684210526315</c:v>
                </c:pt>
                <c:pt idx="1">
                  <c:v>31.5</c:v>
                </c:pt>
                <c:pt idx="2">
                  <c:v>34.884615384615387</c:v>
                </c:pt>
                <c:pt idx="3">
                  <c:v>38.200000000000003</c:v>
                </c:pt>
                <c:pt idx="4">
                  <c:v>35.714285714285715</c:v>
                </c:pt>
                <c:pt idx="5">
                  <c:v>29.833333333333332</c:v>
                </c:pt>
                <c:pt idx="6">
                  <c:v>36.4</c:v>
                </c:pt>
                <c:pt idx="7">
                  <c:v>35.117647058823529</c:v>
                </c:pt>
                <c:pt idx="8">
                  <c:v>34.5</c:v>
                </c:pt>
              </c:numCache>
            </c:numRef>
          </c:val>
          <c:extLst>
            <c:ext xmlns:c16="http://schemas.microsoft.com/office/drawing/2014/chart" uri="{C3380CC4-5D6E-409C-BE32-E72D297353CC}">
              <c16:uniqueId val="{00000000-0C91-4438-B72F-53D40576D481}"/>
            </c:ext>
          </c:extLst>
        </c:ser>
        <c:dLbls>
          <c:showLegendKey val="0"/>
          <c:showVal val="0"/>
          <c:showCatName val="0"/>
          <c:showSerName val="0"/>
          <c:showPercent val="0"/>
          <c:showBubbleSize val="0"/>
        </c:dLbls>
        <c:axId val="562335488"/>
        <c:axId val="562338848"/>
      </c:areaChart>
      <c:catAx>
        <c:axId val="562335488"/>
        <c:scaling>
          <c:orientation val="minMax"/>
        </c:scaling>
        <c:delete val="1"/>
        <c:axPos val="b"/>
        <c:numFmt formatCode="General" sourceLinked="1"/>
        <c:majorTickMark val="out"/>
        <c:minorTickMark val="none"/>
        <c:tickLblPos val="nextTo"/>
        <c:crossAx val="562338848"/>
        <c:crosses val="autoZero"/>
        <c:auto val="1"/>
        <c:lblAlgn val="ctr"/>
        <c:lblOffset val="100"/>
        <c:noMultiLvlLbl val="0"/>
      </c:catAx>
      <c:valAx>
        <c:axId val="562338848"/>
        <c:scaling>
          <c:orientation val="minMax"/>
        </c:scaling>
        <c:delete val="1"/>
        <c:axPos val="l"/>
        <c:numFmt formatCode="General" sourceLinked="1"/>
        <c:majorTickMark val="none"/>
        <c:minorTickMark val="none"/>
        <c:tickLblPos val="nextTo"/>
        <c:crossAx val="562335488"/>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[Hopsital Emergency data santosh.xlsx]Pivot Report!PivotTable7</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124478292672428E-2"/>
          <c:y val="0.13723166183174471"/>
          <c:w val="0.92348005679617917"/>
          <c:h val="0.84204505686789155"/>
        </c:manualLayout>
      </c:layout>
      <c:areaChart>
        <c:grouping val="standard"/>
        <c:varyColors val="0"/>
        <c:ser>
          <c:idx val="0"/>
          <c:order val="0"/>
          <c:tx>
            <c:strRef>
              <c:f>'Pivot Report'!$K$8</c:f>
              <c:strCache>
                <c:ptCount val="1"/>
                <c:pt idx="0">
                  <c:v>Total</c:v>
                </c:pt>
              </c:strCache>
            </c:strRef>
          </c:tx>
          <c:spPr>
            <a:solidFill>
              <a:schemeClr val="accent1"/>
            </a:solidFill>
            <a:ln>
              <a:noFill/>
            </a:ln>
            <a:effectLst/>
          </c:spPr>
          <c:cat>
            <c:strRef>
              <c:f>'Pivot Report'!$J$9:$J$18</c:f>
              <c:strCache>
                <c:ptCount val="9"/>
                <c:pt idx="0">
                  <c:v>4-Jan</c:v>
                </c:pt>
                <c:pt idx="1">
                  <c:v>5-Jan</c:v>
                </c:pt>
                <c:pt idx="2">
                  <c:v>6-Jan</c:v>
                </c:pt>
                <c:pt idx="3">
                  <c:v>7-Jan</c:v>
                </c:pt>
                <c:pt idx="4">
                  <c:v>8-Jan</c:v>
                </c:pt>
                <c:pt idx="5">
                  <c:v>9-Jan</c:v>
                </c:pt>
                <c:pt idx="6">
                  <c:v>10-Jan</c:v>
                </c:pt>
                <c:pt idx="7">
                  <c:v>11-Jan</c:v>
                </c:pt>
                <c:pt idx="8">
                  <c:v>12-Jan</c:v>
                </c:pt>
              </c:strCache>
            </c:strRef>
          </c:cat>
          <c:val>
            <c:numRef>
              <c:f>'Pivot Report'!$K$9:$K$18</c:f>
              <c:numCache>
                <c:formatCode>0.00</c:formatCode>
                <c:ptCount val="9"/>
                <c:pt idx="0">
                  <c:v>3.8</c:v>
                </c:pt>
                <c:pt idx="1">
                  <c:v>5.5</c:v>
                </c:pt>
                <c:pt idx="2">
                  <c:v>4.8</c:v>
                </c:pt>
                <c:pt idx="3">
                  <c:v>2</c:v>
                </c:pt>
                <c:pt idx="4">
                  <c:v>8</c:v>
                </c:pt>
                <c:pt idx="5">
                  <c:v>3.5</c:v>
                </c:pt>
                <c:pt idx="6">
                  <c:v>4.8</c:v>
                </c:pt>
                <c:pt idx="7">
                  <c:v>4.666666666666667</c:v>
                </c:pt>
                <c:pt idx="8">
                  <c:v>9</c:v>
                </c:pt>
              </c:numCache>
            </c:numRef>
          </c:val>
          <c:extLst>
            <c:ext xmlns:c16="http://schemas.microsoft.com/office/drawing/2014/chart" uri="{C3380CC4-5D6E-409C-BE32-E72D297353CC}">
              <c16:uniqueId val="{00000000-FBC0-4AC7-987B-192A51293D3A}"/>
            </c:ext>
          </c:extLst>
        </c:ser>
        <c:dLbls>
          <c:showLegendKey val="0"/>
          <c:showVal val="0"/>
          <c:showCatName val="0"/>
          <c:showSerName val="0"/>
          <c:showPercent val="0"/>
          <c:showBubbleSize val="0"/>
        </c:dLbls>
        <c:axId val="1568686096"/>
        <c:axId val="1568686576"/>
      </c:areaChart>
      <c:catAx>
        <c:axId val="1568686096"/>
        <c:scaling>
          <c:orientation val="minMax"/>
        </c:scaling>
        <c:delete val="1"/>
        <c:axPos val="b"/>
        <c:numFmt formatCode="General" sourceLinked="1"/>
        <c:majorTickMark val="out"/>
        <c:minorTickMark val="none"/>
        <c:tickLblPos val="nextTo"/>
        <c:crossAx val="1568686576"/>
        <c:crosses val="autoZero"/>
        <c:auto val="1"/>
        <c:lblAlgn val="ctr"/>
        <c:lblOffset val="100"/>
        <c:noMultiLvlLbl val="0"/>
      </c:catAx>
      <c:valAx>
        <c:axId val="1568686576"/>
        <c:scaling>
          <c:orientation val="minMax"/>
        </c:scaling>
        <c:delete val="1"/>
        <c:axPos val="l"/>
        <c:numFmt formatCode="0.00" sourceLinked="1"/>
        <c:majorTickMark val="none"/>
        <c:minorTickMark val="none"/>
        <c:tickLblPos val="nextTo"/>
        <c:crossAx val="1568686096"/>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[Hopsital Emergency data santosh.xlsx]Pivot Report!PivotTable8</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3642319435345306E-3"/>
          <c:y val="0.14479638009049775"/>
          <c:w val="0.97594976452119309"/>
          <c:h val="0.64215738370127051"/>
        </c:manualLayout>
      </c:layout>
      <c:barChart>
        <c:barDir val="col"/>
        <c:grouping val="clustered"/>
        <c:varyColors val="0"/>
        <c:ser>
          <c:idx val="0"/>
          <c:order val="0"/>
          <c:tx>
            <c:strRef>
              <c:f>'Pivot Report'!$B$35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Report'!$A$36:$A$44</c:f>
              <c:strCache>
                <c:ptCount val="8"/>
                <c:pt idx="0">
                  <c:v>0-09</c:v>
                </c:pt>
                <c:pt idx="1">
                  <c:v>10-19</c:v>
                </c:pt>
                <c:pt idx="2">
                  <c:v>20-29</c:v>
                </c:pt>
                <c:pt idx="3">
                  <c:v>30-39</c:v>
                </c:pt>
                <c:pt idx="4">
                  <c:v>40-49</c:v>
                </c:pt>
                <c:pt idx="5">
                  <c:v>50-59</c:v>
                </c:pt>
                <c:pt idx="6">
                  <c:v>60-69</c:v>
                </c:pt>
                <c:pt idx="7">
                  <c:v>70-79</c:v>
                </c:pt>
              </c:strCache>
            </c:strRef>
          </c:cat>
          <c:val>
            <c:numRef>
              <c:f>'Pivot Report'!$B$36:$B$44</c:f>
              <c:numCache>
                <c:formatCode>0</c:formatCode>
                <c:ptCount val="8"/>
                <c:pt idx="0">
                  <c:v>17</c:v>
                </c:pt>
                <c:pt idx="1">
                  <c:v>15</c:v>
                </c:pt>
                <c:pt idx="2">
                  <c:v>24</c:v>
                </c:pt>
                <c:pt idx="3">
                  <c:v>23</c:v>
                </c:pt>
                <c:pt idx="4">
                  <c:v>14</c:v>
                </c:pt>
                <c:pt idx="5">
                  <c:v>22</c:v>
                </c:pt>
                <c:pt idx="6">
                  <c:v>20</c:v>
                </c:pt>
                <c:pt idx="7">
                  <c:v>19</c:v>
                </c:pt>
              </c:numCache>
            </c:numRef>
          </c:val>
          <c:extLst>
            <c:ext xmlns:c16="http://schemas.microsoft.com/office/drawing/2014/chart" uri="{C3380CC4-5D6E-409C-BE32-E72D297353CC}">
              <c16:uniqueId val="{00000000-9960-4A06-A394-E593DDB71A32}"/>
            </c:ext>
          </c:extLst>
        </c:ser>
        <c:dLbls>
          <c:showLegendKey val="0"/>
          <c:showVal val="0"/>
          <c:showCatName val="0"/>
          <c:showSerName val="0"/>
          <c:showPercent val="0"/>
          <c:showBubbleSize val="0"/>
        </c:dLbls>
        <c:gapWidth val="219"/>
        <c:overlap val="-27"/>
        <c:axId val="1373635551"/>
        <c:axId val="1373640831"/>
      </c:barChart>
      <c:catAx>
        <c:axId val="1373635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373640831"/>
        <c:crosses val="autoZero"/>
        <c:auto val="1"/>
        <c:lblAlgn val="ctr"/>
        <c:lblOffset val="100"/>
        <c:noMultiLvlLbl val="0"/>
      </c:catAx>
      <c:valAx>
        <c:axId val="1373640831"/>
        <c:scaling>
          <c:orientation val="minMax"/>
        </c:scaling>
        <c:delete val="1"/>
        <c:axPos val="l"/>
        <c:numFmt formatCode="0" sourceLinked="1"/>
        <c:majorTickMark val="none"/>
        <c:minorTickMark val="none"/>
        <c:tickLblPos val="nextTo"/>
        <c:crossAx val="13736355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[Hopsital Emergency data santosh.xlsx]Pivot Report!PivotTable9</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2"/>
          </a:solidFill>
          <a:ln>
            <a:noFill/>
          </a:ln>
          <a:effectLst>
            <a:outerShdw blurRad="317500" algn="ctr" rotWithShape="0">
              <a:prstClr val="black">
                <a:alpha val="25000"/>
              </a:prstClr>
            </a:outerShdw>
          </a:effectLst>
        </c:spPr>
      </c:pivotFmt>
    </c:pivotFmts>
    <c:plotArea>
      <c:layout/>
      <c:pieChart>
        <c:varyColors val="1"/>
        <c:ser>
          <c:idx val="0"/>
          <c:order val="0"/>
          <c:tx>
            <c:strRef>
              <c:f>'Pivot Report'!$B$47</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5F15-44D3-BD52-A6BF3EF4B33F}"/>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5F15-44D3-BD52-A6BF3EF4B33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Report'!$A$48:$A$50</c:f>
              <c:strCache>
                <c:ptCount val="2"/>
                <c:pt idx="0">
                  <c:v>Delay</c:v>
                </c:pt>
                <c:pt idx="1">
                  <c:v>Ontime</c:v>
                </c:pt>
              </c:strCache>
            </c:strRef>
          </c:cat>
          <c:val>
            <c:numRef>
              <c:f>'Pivot Report'!$B$48:$B$50</c:f>
              <c:numCache>
                <c:formatCode>0</c:formatCode>
                <c:ptCount val="2"/>
                <c:pt idx="0">
                  <c:v>94</c:v>
                </c:pt>
                <c:pt idx="1">
                  <c:v>60</c:v>
                </c:pt>
              </c:numCache>
            </c:numRef>
          </c:val>
          <c:extLst>
            <c:ext xmlns:c16="http://schemas.microsoft.com/office/drawing/2014/chart" uri="{C3380CC4-5D6E-409C-BE32-E72D297353CC}">
              <c16:uniqueId val="{00000004-5F15-44D3-BD52-A6BF3EF4B33F}"/>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7.6549792978005404E-2"/>
          <c:y val="0"/>
          <c:w val="0.5913873058685345"/>
          <c:h val="0.1023077153378641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[Hopsital Emergency data santosh.xlsx]Pivot Report!PivotTable10</c:name>
    <c:fmtId val="16"/>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s>
    <c:plotArea>
      <c:layout>
        <c:manualLayout>
          <c:layoutTarget val="inner"/>
          <c:xMode val="edge"/>
          <c:yMode val="edge"/>
          <c:x val="0.14881638197781188"/>
          <c:y val="0.14648893297786594"/>
          <c:w val="0.65352477999073655"/>
          <c:h val="0.81647715295430601"/>
        </c:manualLayout>
      </c:layout>
      <c:doughnutChart>
        <c:varyColors val="1"/>
        <c:ser>
          <c:idx val="0"/>
          <c:order val="0"/>
          <c:tx>
            <c:strRef>
              <c:f>'Pivot Report'!$B$54</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01-C42F-4E15-89B8-E639CBA916AE}"/>
              </c:ext>
            </c:extLst>
          </c:dPt>
          <c:dPt>
            <c:idx val="1"/>
            <c:bubble3D val="0"/>
            <c:spPr>
              <a:solidFill>
                <a:schemeClr val="accent2"/>
              </a:solidFill>
              <a:ln>
                <a:noFill/>
              </a:ln>
              <a:effectLst/>
            </c:spPr>
            <c:extLst>
              <c:ext xmlns:c16="http://schemas.microsoft.com/office/drawing/2014/chart" uri="{C3380CC4-5D6E-409C-BE32-E72D297353CC}">
                <c16:uniqueId val="{00000003-C42F-4E15-89B8-E639CBA916A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Report'!$A$55:$A$57</c:f>
              <c:strCache>
                <c:ptCount val="2"/>
                <c:pt idx="0">
                  <c:v>Female</c:v>
                </c:pt>
                <c:pt idx="1">
                  <c:v>Male</c:v>
                </c:pt>
              </c:strCache>
            </c:strRef>
          </c:cat>
          <c:val>
            <c:numRef>
              <c:f>'Pivot Report'!$B$55:$B$57</c:f>
              <c:numCache>
                <c:formatCode>0</c:formatCode>
                <c:ptCount val="2"/>
                <c:pt idx="0">
                  <c:v>75</c:v>
                </c:pt>
                <c:pt idx="1">
                  <c:v>79</c:v>
                </c:pt>
              </c:numCache>
            </c:numRef>
          </c:val>
          <c:extLst>
            <c:ext xmlns:c16="http://schemas.microsoft.com/office/drawing/2014/chart" uri="{C3380CC4-5D6E-409C-BE32-E72D297353CC}">
              <c16:uniqueId val="{00000004-C42F-4E15-89B8-E639CBA916AE}"/>
            </c:ext>
          </c:extLst>
        </c:ser>
        <c:dLbls>
          <c:showLegendKey val="0"/>
          <c:showVal val="0"/>
          <c:showCatName val="0"/>
          <c:showSerName val="0"/>
          <c:showPercent val="1"/>
          <c:showBubbleSize val="0"/>
          <c:showLeaderLines val="1"/>
        </c:dLbls>
        <c:firstSliceAng val="0"/>
        <c:holeSize val="31"/>
      </c:doughnutChart>
      <c:spPr>
        <a:noFill/>
        <a:ln>
          <a:noFill/>
        </a:ln>
        <a:effectLst/>
      </c:spPr>
    </c:plotArea>
    <c:legend>
      <c:legendPos val="r"/>
      <c:layout>
        <c:manualLayout>
          <c:xMode val="edge"/>
          <c:yMode val="edge"/>
          <c:x val="0.1733982939632546"/>
          <c:y val="5.7815689705455859E-4"/>
          <c:w val="0.74139019387282468"/>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[Hopsital Emergency data santosh.xlsx]Pivot Report!PivotTable11</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120955876408674"/>
          <c:y val="7.4324324324324328E-2"/>
          <c:w val="0.7022813626736083"/>
          <c:h val="0.79440306448180464"/>
        </c:manualLayout>
      </c:layout>
      <c:barChart>
        <c:barDir val="bar"/>
        <c:grouping val="clustered"/>
        <c:varyColors val="0"/>
        <c:ser>
          <c:idx val="0"/>
          <c:order val="0"/>
          <c:tx>
            <c:strRef>
              <c:f>'Pivot Report'!$B$61</c:f>
              <c:strCache>
                <c:ptCount val="1"/>
                <c:pt idx="0">
                  <c:v>Total</c:v>
                </c:pt>
              </c:strCache>
            </c:strRef>
          </c:tx>
          <c:spPr>
            <a:solidFill>
              <a:schemeClr val="accent1"/>
            </a:solidFill>
            <a:ln>
              <a:noFill/>
            </a:ln>
            <a:effectLst/>
          </c:spPr>
          <c:invertIfNegative val="0"/>
          <c:cat>
            <c:strRef>
              <c:f>'Pivot Report'!$A$62:$A$70</c:f>
              <c:strCache>
                <c:ptCount val="8"/>
                <c:pt idx="0">
                  <c:v>Renal</c:v>
                </c:pt>
                <c:pt idx="1">
                  <c:v>Neurology</c:v>
                </c:pt>
                <c:pt idx="2">
                  <c:v>Gastroenterology</c:v>
                </c:pt>
                <c:pt idx="3">
                  <c:v>Physiotherapy</c:v>
                </c:pt>
                <c:pt idx="4">
                  <c:v>Cardiology</c:v>
                </c:pt>
                <c:pt idx="5">
                  <c:v>Orthopedics</c:v>
                </c:pt>
                <c:pt idx="6">
                  <c:v>General Practice</c:v>
                </c:pt>
                <c:pt idx="7">
                  <c:v>None</c:v>
                </c:pt>
              </c:strCache>
            </c:strRef>
          </c:cat>
          <c:val>
            <c:numRef>
              <c:f>'Pivot Report'!$B$62:$B$70</c:f>
              <c:numCache>
                <c:formatCode>0</c:formatCode>
                <c:ptCount val="8"/>
                <c:pt idx="0">
                  <c:v>1</c:v>
                </c:pt>
                <c:pt idx="1">
                  <c:v>3</c:v>
                </c:pt>
                <c:pt idx="2">
                  <c:v>4</c:v>
                </c:pt>
                <c:pt idx="3">
                  <c:v>4</c:v>
                </c:pt>
                <c:pt idx="4">
                  <c:v>7</c:v>
                </c:pt>
                <c:pt idx="5">
                  <c:v>11</c:v>
                </c:pt>
                <c:pt idx="6">
                  <c:v>31</c:v>
                </c:pt>
                <c:pt idx="7">
                  <c:v>93</c:v>
                </c:pt>
              </c:numCache>
            </c:numRef>
          </c:val>
          <c:extLst>
            <c:ext xmlns:c16="http://schemas.microsoft.com/office/drawing/2014/chart" uri="{C3380CC4-5D6E-409C-BE32-E72D297353CC}">
              <c16:uniqueId val="{00000000-82EF-4B2C-A744-74ACCF6F019A}"/>
            </c:ext>
          </c:extLst>
        </c:ser>
        <c:dLbls>
          <c:showLegendKey val="0"/>
          <c:showVal val="0"/>
          <c:showCatName val="0"/>
          <c:showSerName val="0"/>
          <c:showPercent val="0"/>
          <c:showBubbleSize val="0"/>
        </c:dLbls>
        <c:gapWidth val="86"/>
        <c:axId val="1568664016"/>
        <c:axId val="1568663056"/>
      </c:barChart>
      <c:catAx>
        <c:axId val="15686640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568663056"/>
        <c:crosses val="autoZero"/>
        <c:auto val="1"/>
        <c:lblAlgn val="ctr"/>
        <c:lblOffset val="100"/>
        <c:noMultiLvlLbl val="0"/>
      </c:catAx>
      <c:valAx>
        <c:axId val="1568663056"/>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5686640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[Hopsital Emergency data santosh.xlsx]Pivot Report!PivotTable4</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964985759758754"/>
          <c:y val="0.30390214982045527"/>
          <c:w val="0.64059641480985086"/>
          <c:h val="0.30665258605008389"/>
        </c:manualLayout>
      </c:layout>
      <c:areaChart>
        <c:grouping val="standard"/>
        <c:varyColors val="0"/>
        <c:ser>
          <c:idx val="0"/>
          <c:order val="0"/>
          <c:tx>
            <c:strRef>
              <c:f>'Pivot Report'!$D$8</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Report'!$C$9:$C$18</c:f>
              <c:strCache>
                <c:ptCount val="9"/>
                <c:pt idx="0">
                  <c:v>4-Jan</c:v>
                </c:pt>
                <c:pt idx="1">
                  <c:v>5-Jan</c:v>
                </c:pt>
                <c:pt idx="2">
                  <c:v>6-Jan</c:v>
                </c:pt>
                <c:pt idx="3">
                  <c:v>7-Jan</c:v>
                </c:pt>
                <c:pt idx="4">
                  <c:v>8-Jan</c:v>
                </c:pt>
                <c:pt idx="5">
                  <c:v>9-Jan</c:v>
                </c:pt>
                <c:pt idx="6">
                  <c:v>10-Jan</c:v>
                </c:pt>
                <c:pt idx="7">
                  <c:v>11-Jan</c:v>
                </c:pt>
                <c:pt idx="8">
                  <c:v>12-Jan</c:v>
                </c:pt>
              </c:strCache>
            </c:strRef>
          </c:cat>
          <c:val>
            <c:numRef>
              <c:f>'Pivot Report'!$D$9:$D$18</c:f>
              <c:numCache>
                <c:formatCode>General</c:formatCode>
                <c:ptCount val="9"/>
                <c:pt idx="0">
                  <c:v>19</c:v>
                </c:pt>
                <c:pt idx="1">
                  <c:v>20</c:v>
                </c:pt>
                <c:pt idx="2">
                  <c:v>26</c:v>
                </c:pt>
                <c:pt idx="3">
                  <c:v>15</c:v>
                </c:pt>
                <c:pt idx="4">
                  <c:v>14</c:v>
                </c:pt>
                <c:pt idx="5">
                  <c:v>12</c:v>
                </c:pt>
                <c:pt idx="6">
                  <c:v>15</c:v>
                </c:pt>
                <c:pt idx="7">
                  <c:v>17</c:v>
                </c:pt>
                <c:pt idx="8">
                  <c:v>16</c:v>
                </c:pt>
              </c:numCache>
            </c:numRef>
          </c:val>
          <c:extLst>
            <c:ext xmlns:c16="http://schemas.microsoft.com/office/drawing/2014/chart" uri="{C3380CC4-5D6E-409C-BE32-E72D297353CC}">
              <c16:uniqueId val="{00000000-193C-4BFE-AEDE-618F949BEE4E}"/>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452672880"/>
        <c:axId val="452671440"/>
      </c:areaChart>
      <c:catAx>
        <c:axId val="452672880"/>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52671440"/>
        <c:crosses val="autoZero"/>
        <c:auto val="1"/>
        <c:lblAlgn val="ctr"/>
        <c:lblOffset val="100"/>
        <c:noMultiLvlLbl val="0"/>
      </c:catAx>
      <c:valAx>
        <c:axId val="452671440"/>
        <c:scaling>
          <c:orientation val="minMax"/>
        </c:scaling>
        <c:delete val="1"/>
        <c:axPos val="l"/>
        <c:numFmt formatCode="General" sourceLinked="1"/>
        <c:majorTickMark val="out"/>
        <c:minorTickMark val="none"/>
        <c:tickLblPos val="nextTo"/>
        <c:crossAx val="45267288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[Hopsital Emergency data santosh.xlsx]Pivot Report!PivotTable6</c:name>
    <c:fmtId val="1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500041268426351E-2"/>
          <c:y val="4.0968342644320296E-2"/>
          <c:w val="0.93022004324931085"/>
          <c:h val="0.87293010161439322"/>
        </c:manualLayout>
      </c:layout>
      <c:areaChart>
        <c:grouping val="standard"/>
        <c:varyColors val="0"/>
        <c:ser>
          <c:idx val="0"/>
          <c:order val="0"/>
          <c:tx>
            <c:strRef>
              <c:f>'Pivot Report'!$H$8</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Report'!$G$9:$G$18</c:f>
              <c:strCache>
                <c:ptCount val="9"/>
                <c:pt idx="0">
                  <c:v>4-Jan</c:v>
                </c:pt>
                <c:pt idx="1">
                  <c:v>5-Jan</c:v>
                </c:pt>
                <c:pt idx="2">
                  <c:v>6-Jan</c:v>
                </c:pt>
                <c:pt idx="3">
                  <c:v>7-Jan</c:v>
                </c:pt>
                <c:pt idx="4">
                  <c:v>8-Jan</c:v>
                </c:pt>
                <c:pt idx="5">
                  <c:v>9-Jan</c:v>
                </c:pt>
                <c:pt idx="6">
                  <c:v>10-Jan</c:v>
                </c:pt>
                <c:pt idx="7">
                  <c:v>11-Jan</c:v>
                </c:pt>
                <c:pt idx="8">
                  <c:v>12-Jan</c:v>
                </c:pt>
              </c:strCache>
            </c:strRef>
          </c:cat>
          <c:val>
            <c:numRef>
              <c:f>'Pivot Report'!$H$9:$H$18</c:f>
              <c:numCache>
                <c:formatCode>General</c:formatCode>
                <c:ptCount val="9"/>
                <c:pt idx="0">
                  <c:v>40.473684210526315</c:v>
                </c:pt>
                <c:pt idx="1">
                  <c:v>31.5</c:v>
                </c:pt>
                <c:pt idx="2">
                  <c:v>34.884615384615387</c:v>
                </c:pt>
                <c:pt idx="3">
                  <c:v>38.200000000000003</c:v>
                </c:pt>
                <c:pt idx="4">
                  <c:v>35.714285714285715</c:v>
                </c:pt>
                <c:pt idx="5">
                  <c:v>29.833333333333332</c:v>
                </c:pt>
                <c:pt idx="6">
                  <c:v>36.4</c:v>
                </c:pt>
                <c:pt idx="7">
                  <c:v>35.117647058823529</c:v>
                </c:pt>
                <c:pt idx="8">
                  <c:v>34.5</c:v>
                </c:pt>
              </c:numCache>
            </c:numRef>
          </c:val>
          <c:extLst>
            <c:ext xmlns:c16="http://schemas.microsoft.com/office/drawing/2014/chart" uri="{C3380CC4-5D6E-409C-BE32-E72D297353CC}">
              <c16:uniqueId val="{00000000-B5EC-410B-B04A-4CB583F1AAC9}"/>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562335488"/>
        <c:axId val="562338848"/>
      </c:areaChart>
      <c:catAx>
        <c:axId val="562335488"/>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562338848"/>
        <c:crosses val="autoZero"/>
        <c:auto val="1"/>
        <c:lblAlgn val="ctr"/>
        <c:lblOffset val="100"/>
        <c:noMultiLvlLbl val="0"/>
      </c:catAx>
      <c:valAx>
        <c:axId val="562338848"/>
        <c:scaling>
          <c:orientation val="minMax"/>
        </c:scaling>
        <c:delete val="1"/>
        <c:axPos val="l"/>
        <c:numFmt formatCode="General" sourceLinked="1"/>
        <c:majorTickMark val="out"/>
        <c:minorTickMark val="none"/>
        <c:tickLblPos val="nextTo"/>
        <c:crossAx val="562335488"/>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[Hopsital Emergency data santosh.xlsx]Pivot Report!PivotTable7</c:name>
    <c:fmtId val="2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387267549003182E-2"/>
          <c:y val="0"/>
          <c:w val="0.92632333724241922"/>
          <c:h val="0.87705128750798045"/>
        </c:manualLayout>
      </c:layout>
      <c:areaChart>
        <c:grouping val="standard"/>
        <c:varyColors val="0"/>
        <c:ser>
          <c:idx val="0"/>
          <c:order val="0"/>
          <c:tx>
            <c:strRef>
              <c:f>'Pivot Report'!$K$8</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Report'!$J$9:$J$18</c:f>
              <c:strCache>
                <c:ptCount val="9"/>
                <c:pt idx="0">
                  <c:v>4-Jan</c:v>
                </c:pt>
                <c:pt idx="1">
                  <c:v>5-Jan</c:v>
                </c:pt>
                <c:pt idx="2">
                  <c:v>6-Jan</c:v>
                </c:pt>
                <c:pt idx="3">
                  <c:v>7-Jan</c:v>
                </c:pt>
                <c:pt idx="4">
                  <c:v>8-Jan</c:v>
                </c:pt>
                <c:pt idx="5">
                  <c:v>9-Jan</c:v>
                </c:pt>
                <c:pt idx="6">
                  <c:v>10-Jan</c:v>
                </c:pt>
                <c:pt idx="7">
                  <c:v>11-Jan</c:v>
                </c:pt>
                <c:pt idx="8">
                  <c:v>12-Jan</c:v>
                </c:pt>
              </c:strCache>
            </c:strRef>
          </c:cat>
          <c:val>
            <c:numRef>
              <c:f>'Pivot Report'!$K$9:$K$18</c:f>
              <c:numCache>
                <c:formatCode>0.00</c:formatCode>
                <c:ptCount val="9"/>
                <c:pt idx="0">
                  <c:v>3.8</c:v>
                </c:pt>
                <c:pt idx="1">
                  <c:v>5.5</c:v>
                </c:pt>
                <c:pt idx="2">
                  <c:v>4.8</c:v>
                </c:pt>
                <c:pt idx="3">
                  <c:v>2</c:v>
                </c:pt>
                <c:pt idx="4">
                  <c:v>8</c:v>
                </c:pt>
                <c:pt idx="5">
                  <c:v>3.5</c:v>
                </c:pt>
                <c:pt idx="6">
                  <c:v>4.8</c:v>
                </c:pt>
                <c:pt idx="7">
                  <c:v>4.666666666666667</c:v>
                </c:pt>
                <c:pt idx="8">
                  <c:v>9</c:v>
                </c:pt>
              </c:numCache>
            </c:numRef>
          </c:val>
          <c:extLst>
            <c:ext xmlns:c16="http://schemas.microsoft.com/office/drawing/2014/chart" uri="{C3380CC4-5D6E-409C-BE32-E72D297353CC}">
              <c16:uniqueId val="{00000000-FE71-4542-B672-63FA7BB888CB}"/>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568686096"/>
        <c:axId val="1568686576"/>
      </c:areaChart>
      <c:catAx>
        <c:axId val="1568686096"/>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568686576"/>
        <c:crosses val="autoZero"/>
        <c:auto val="1"/>
        <c:lblAlgn val="ctr"/>
        <c:lblOffset val="100"/>
        <c:noMultiLvlLbl val="0"/>
      </c:catAx>
      <c:valAx>
        <c:axId val="1568686576"/>
        <c:scaling>
          <c:orientation val="minMax"/>
        </c:scaling>
        <c:delete val="1"/>
        <c:axPos val="l"/>
        <c:numFmt formatCode="0.00" sourceLinked="1"/>
        <c:majorTickMark val="out"/>
        <c:minorTickMark val="none"/>
        <c:tickLblPos val="nextTo"/>
        <c:crossAx val="1568686096"/>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7.svg"/><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2.png"/><Relationship Id="rId7" Type="http://schemas.openxmlformats.org/officeDocument/2006/relationships/image" Target="../media/image6.png"/><Relationship Id="rId12" Type="http://schemas.openxmlformats.org/officeDocument/2006/relationships/hyperlink" Target="#'Satisfaction Score'!A1"/><Relationship Id="rId17" Type="http://schemas.openxmlformats.org/officeDocument/2006/relationships/chart" Target="../charts/chart7.xml"/><Relationship Id="rId2" Type="http://schemas.openxmlformats.org/officeDocument/2006/relationships/image" Target="../media/image1.png"/><Relationship Id="rId16" Type="http://schemas.openxmlformats.org/officeDocument/2006/relationships/chart" Target="../charts/chart6.xml"/><Relationship Id="rId1" Type="http://schemas.openxmlformats.org/officeDocument/2006/relationships/hyperlink" Target="#'ER Daily no of patient'!A1"/><Relationship Id="rId6" Type="http://schemas.openxmlformats.org/officeDocument/2006/relationships/image" Target="../media/image5.svg"/><Relationship Id="rId11" Type="http://schemas.openxmlformats.org/officeDocument/2006/relationships/chart" Target="../charts/chart3.xml"/><Relationship Id="rId5" Type="http://schemas.openxmlformats.org/officeDocument/2006/relationships/image" Target="../media/image4.png"/><Relationship Id="rId15" Type="http://schemas.openxmlformats.org/officeDocument/2006/relationships/chart" Target="../charts/chart5.xml"/><Relationship Id="rId10" Type="http://schemas.openxmlformats.org/officeDocument/2006/relationships/hyperlink" Target="#'Average Wait Time'!A1"/><Relationship Id="rId4" Type="http://schemas.openxmlformats.org/officeDocument/2006/relationships/image" Target="../media/image3.svg"/><Relationship Id="rId9" Type="http://schemas.openxmlformats.org/officeDocument/2006/relationships/chart" Target="../charts/chart2.xml"/><Relationship Id="rId14" Type="http://schemas.openxmlformats.org/officeDocument/2006/relationships/image" Target="../media/image8.emf"/></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11.svg"/></Relationships>
</file>

<file path=xl/drawings/_rels/drawing5.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1.svg"/></Relationships>
</file>

<file path=xl/drawings/_rels/drawing6.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1.xml"/><Relationship Id="rId4" Type="http://schemas.openxmlformats.org/officeDocument/2006/relationships/image" Target="../media/image11.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3</xdr:col>
      <xdr:colOff>50800</xdr:colOff>
      <xdr:row>31</xdr:row>
      <xdr:rowOff>25400</xdr:rowOff>
    </xdr:from>
    <xdr:to>
      <xdr:col>4</xdr:col>
      <xdr:colOff>133350</xdr:colOff>
      <xdr:row>33</xdr:row>
      <xdr:rowOff>19050</xdr:rowOff>
    </xdr:to>
    <xdr:graphicFrame macro="">
      <xdr:nvGraphicFramePr>
        <xdr:cNvPr id="3" name="Chart 2">
          <a:extLst>
            <a:ext uri="{FF2B5EF4-FFF2-40B4-BE49-F238E27FC236}">
              <a16:creationId xmlns:a16="http://schemas.microsoft.com/office/drawing/2014/main" id="{6C5345A1-72B1-99A0-DA08-22E467C50D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1200150</xdr:colOff>
      <xdr:row>72</xdr:row>
      <xdr:rowOff>95250</xdr:rowOff>
    </xdr:from>
    <xdr:to>
      <xdr:col>3</xdr:col>
      <xdr:colOff>425450</xdr:colOff>
      <xdr:row>86</xdr:row>
      <xdr:rowOff>136522</xdr:rowOff>
    </xdr:to>
    <mc:AlternateContent xmlns:mc="http://schemas.openxmlformats.org/markup-compatibility/2006">
      <mc:Choice xmlns:a14="http://schemas.microsoft.com/office/drawing/2010/main" Requires="a14">
        <xdr:graphicFrame macro="">
          <xdr:nvGraphicFramePr>
            <xdr:cNvPr id="8" name="Date (Year)">
              <a:extLst>
                <a:ext uri="{FF2B5EF4-FFF2-40B4-BE49-F238E27FC236}">
                  <a16:creationId xmlns:a16="http://schemas.microsoft.com/office/drawing/2014/main" id="{365A3656-3A16-C40D-941F-1D9014F614D3}"/>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3416300" y="1335405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82550</xdr:colOff>
      <xdr:row>1</xdr:row>
      <xdr:rowOff>171450</xdr:rowOff>
    </xdr:from>
    <xdr:to>
      <xdr:col>6</xdr:col>
      <xdr:colOff>438150</xdr:colOff>
      <xdr:row>6</xdr:row>
      <xdr:rowOff>19050</xdr:rowOff>
    </xdr:to>
    <xdr:sp macro="" textlink="">
      <xdr:nvSpPr>
        <xdr:cNvPr id="2" name="Rectangle: Rounded Corners 1">
          <a:extLst>
            <a:ext uri="{FF2B5EF4-FFF2-40B4-BE49-F238E27FC236}">
              <a16:creationId xmlns:a16="http://schemas.microsoft.com/office/drawing/2014/main" id="{51874F19-C07C-F259-C885-9737110B5A56}"/>
            </a:ext>
          </a:extLst>
        </xdr:cNvPr>
        <xdr:cNvSpPr/>
      </xdr:nvSpPr>
      <xdr:spPr>
        <a:xfrm>
          <a:off x="82550" y="355600"/>
          <a:ext cx="4013200" cy="768350"/>
        </a:xfrm>
        <a:prstGeom prst="roundRect">
          <a:avLst>
            <a:gd name="adj" fmla="val 17493"/>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6</xdr:col>
      <xdr:colOff>495300</xdr:colOff>
      <xdr:row>1</xdr:row>
      <xdr:rowOff>158750</xdr:rowOff>
    </xdr:from>
    <xdr:to>
      <xdr:col>8</xdr:col>
      <xdr:colOff>552450</xdr:colOff>
      <xdr:row>6</xdr:row>
      <xdr:rowOff>6350</xdr:rowOff>
    </xdr:to>
    <xdr:sp macro="" textlink="">
      <xdr:nvSpPr>
        <xdr:cNvPr id="3" name="Rectangle: Rounded Corners 2">
          <a:extLst>
            <a:ext uri="{FF2B5EF4-FFF2-40B4-BE49-F238E27FC236}">
              <a16:creationId xmlns:a16="http://schemas.microsoft.com/office/drawing/2014/main" id="{3C1FF2E3-9F49-B3D7-C74E-83C55AEF9E91}"/>
            </a:ext>
          </a:extLst>
        </xdr:cNvPr>
        <xdr:cNvSpPr/>
      </xdr:nvSpPr>
      <xdr:spPr>
        <a:xfrm>
          <a:off x="4152900" y="342900"/>
          <a:ext cx="1276350" cy="768350"/>
        </a:xfrm>
        <a:prstGeom prst="roundRect">
          <a:avLst>
            <a:gd name="adj" fmla="val 17493"/>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9</xdr:col>
      <xdr:colOff>76200</xdr:colOff>
      <xdr:row>1</xdr:row>
      <xdr:rowOff>152400</xdr:rowOff>
    </xdr:from>
    <xdr:to>
      <xdr:col>11</xdr:col>
      <xdr:colOff>298450</xdr:colOff>
      <xdr:row>10</xdr:row>
      <xdr:rowOff>25400</xdr:rowOff>
    </xdr:to>
    <xdr:sp macro="" textlink="">
      <xdr:nvSpPr>
        <xdr:cNvPr id="4" name="Rectangle: Rounded Corners 3">
          <a:extLst>
            <a:ext uri="{FF2B5EF4-FFF2-40B4-BE49-F238E27FC236}">
              <a16:creationId xmlns:a16="http://schemas.microsoft.com/office/drawing/2014/main" id="{56693D8E-3A43-F041-005B-99A67436AEFC}"/>
            </a:ext>
          </a:extLst>
        </xdr:cNvPr>
        <xdr:cNvSpPr/>
      </xdr:nvSpPr>
      <xdr:spPr>
        <a:xfrm>
          <a:off x="5518150" y="336550"/>
          <a:ext cx="1441450" cy="1530350"/>
        </a:xfrm>
        <a:prstGeom prst="roundRect">
          <a:avLst>
            <a:gd name="adj" fmla="val 9281"/>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9</xdr:col>
      <xdr:colOff>76200</xdr:colOff>
      <xdr:row>10</xdr:row>
      <xdr:rowOff>101600</xdr:rowOff>
    </xdr:from>
    <xdr:to>
      <xdr:col>14</xdr:col>
      <xdr:colOff>19050</xdr:colOff>
      <xdr:row>20</xdr:row>
      <xdr:rowOff>101600</xdr:rowOff>
    </xdr:to>
    <xdr:sp macro="" textlink="">
      <xdr:nvSpPr>
        <xdr:cNvPr id="5" name="Rectangle: Rounded Corners 4">
          <a:extLst>
            <a:ext uri="{FF2B5EF4-FFF2-40B4-BE49-F238E27FC236}">
              <a16:creationId xmlns:a16="http://schemas.microsoft.com/office/drawing/2014/main" id="{9B50CB19-9931-4360-C554-0A07E9E7A3EA}"/>
            </a:ext>
          </a:extLst>
        </xdr:cNvPr>
        <xdr:cNvSpPr/>
      </xdr:nvSpPr>
      <xdr:spPr>
        <a:xfrm>
          <a:off x="5518150" y="1943100"/>
          <a:ext cx="2990850" cy="1841500"/>
        </a:xfrm>
        <a:prstGeom prst="roundRect">
          <a:avLst>
            <a:gd name="adj" fmla="val 8582"/>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76200</xdr:colOff>
      <xdr:row>6</xdr:row>
      <xdr:rowOff>127000</xdr:rowOff>
    </xdr:from>
    <xdr:to>
      <xdr:col>2</xdr:col>
      <xdr:colOff>82550</xdr:colOff>
      <xdr:row>20</xdr:row>
      <xdr:rowOff>120650</xdr:rowOff>
    </xdr:to>
    <xdr:sp macro="" textlink="">
      <xdr:nvSpPr>
        <xdr:cNvPr id="6" name="Rectangle: Rounded Corners 5">
          <a:extLst>
            <a:ext uri="{FF2B5EF4-FFF2-40B4-BE49-F238E27FC236}">
              <a16:creationId xmlns:a16="http://schemas.microsoft.com/office/drawing/2014/main" id="{E2C78C47-3817-4646-B91D-07505DC87C2F}"/>
            </a:ext>
          </a:extLst>
        </xdr:cNvPr>
        <xdr:cNvSpPr/>
      </xdr:nvSpPr>
      <xdr:spPr>
        <a:xfrm>
          <a:off x="76200" y="1231900"/>
          <a:ext cx="1225550" cy="2571750"/>
        </a:xfrm>
        <a:prstGeom prst="roundRect">
          <a:avLst>
            <a:gd name="adj" fmla="val 206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2</xdr:col>
      <xdr:colOff>209550</xdr:colOff>
      <xdr:row>6</xdr:row>
      <xdr:rowOff>158750</xdr:rowOff>
    </xdr:from>
    <xdr:to>
      <xdr:col>4</xdr:col>
      <xdr:colOff>339863</xdr:colOff>
      <xdr:row>11</xdr:row>
      <xdr:rowOff>138113</xdr:rowOff>
    </xdr:to>
    <xdr:sp macro="" textlink="">
      <xdr:nvSpPr>
        <xdr:cNvPr id="7" name="Rectangle: Rounded Corners 6">
          <a:hlinkClick xmlns:r="http://schemas.openxmlformats.org/officeDocument/2006/relationships" r:id="rId1"/>
          <a:extLst>
            <a:ext uri="{FF2B5EF4-FFF2-40B4-BE49-F238E27FC236}">
              <a16:creationId xmlns:a16="http://schemas.microsoft.com/office/drawing/2014/main" id="{4BD6C4CC-BC10-D434-177D-9976CD02BED2}"/>
            </a:ext>
          </a:extLst>
        </xdr:cNvPr>
        <xdr:cNvSpPr/>
      </xdr:nvSpPr>
      <xdr:spPr>
        <a:xfrm>
          <a:off x="1428750" y="1263650"/>
          <a:ext cx="1349513" cy="900113"/>
        </a:xfrm>
        <a:prstGeom prst="roundRect">
          <a:avLst>
            <a:gd name="adj" fmla="val 206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4</xdr:col>
      <xdr:colOff>399222</xdr:colOff>
      <xdr:row>6</xdr:row>
      <xdr:rowOff>141288</xdr:rowOff>
    </xdr:from>
    <xdr:to>
      <xdr:col>6</xdr:col>
      <xdr:colOff>529535</xdr:colOff>
      <xdr:row>11</xdr:row>
      <xdr:rowOff>120651</xdr:rowOff>
    </xdr:to>
    <xdr:sp macro="" textlink="">
      <xdr:nvSpPr>
        <xdr:cNvPr id="8" name="Rectangle: Rounded Corners 7">
          <a:extLst>
            <a:ext uri="{FF2B5EF4-FFF2-40B4-BE49-F238E27FC236}">
              <a16:creationId xmlns:a16="http://schemas.microsoft.com/office/drawing/2014/main" id="{0B0616F9-B8CF-FBE2-A648-EC07BF617BA0}"/>
            </a:ext>
          </a:extLst>
        </xdr:cNvPr>
        <xdr:cNvSpPr/>
      </xdr:nvSpPr>
      <xdr:spPr>
        <a:xfrm>
          <a:off x="2837622" y="1246188"/>
          <a:ext cx="1349513" cy="900113"/>
        </a:xfrm>
        <a:prstGeom prst="roundRect">
          <a:avLst>
            <a:gd name="adj" fmla="val 206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7</xdr:col>
      <xdr:colOff>34787</xdr:colOff>
      <xdr:row>6</xdr:row>
      <xdr:rowOff>134144</xdr:rowOff>
    </xdr:from>
    <xdr:to>
      <xdr:col>9</xdr:col>
      <xdr:colOff>6350</xdr:colOff>
      <xdr:row>11</xdr:row>
      <xdr:rowOff>113507</xdr:rowOff>
    </xdr:to>
    <xdr:sp macro="" textlink="">
      <xdr:nvSpPr>
        <xdr:cNvPr id="9" name="Rectangle: Rounded Corners 8">
          <a:extLst>
            <a:ext uri="{FF2B5EF4-FFF2-40B4-BE49-F238E27FC236}">
              <a16:creationId xmlns:a16="http://schemas.microsoft.com/office/drawing/2014/main" id="{D9209642-ECA8-478F-AE43-8C095AC06CF7}"/>
            </a:ext>
          </a:extLst>
        </xdr:cNvPr>
        <xdr:cNvSpPr/>
      </xdr:nvSpPr>
      <xdr:spPr>
        <a:xfrm>
          <a:off x="4301987" y="1239044"/>
          <a:ext cx="1146313" cy="900113"/>
        </a:xfrm>
        <a:prstGeom prst="roundRect">
          <a:avLst>
            <a:gd name="adj" fmla="val 206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2</xdr:col>
      <xdr:colOff>203200</xdr:colOff>
      <xdr:row>14</xdr:row>
      <xdr:rowOff>114301</xdr:rowOff>
    </xdr:from>
    <xdr:to>
      <xdr:col>9</xdr:col>
      <xdr:colOff>38100</xdr:colOff>
      <xdr:row>20</xdr:row>
      <xdr:rowOff>101600</xdr:rowOff>
    </xdr:to>
    <xdr:sp macro="" textlink="">
      <xdr:nvSpPr>
        <xdr:cNvPr id="17" name="Rectangle: Rounded Corners 16">
          <a:extLst>
            <a:ext uri="{FF2B5EF4-FFF2-40B4-BE49-F238E27FC236}">
              <a16:creationId xmlns:a16="http://schemas.microsoft.com/office/drawing/2014/main" id="{6FE48006-6B03-2FB9-F638-1E157AFB030A}"/>
            </a:ext>
          </a:extLst>
        </xdr:cNvPr>
        <xdr:cNvSpPr/>
      </xdr:nvSpPr>
      <xdr:spPr>
        <a:xfrm>
          <a:off x="1422400" y="2692401"/>
          <a:ext cx="4057650" cy="1092199"/>
        </a:xfrm>
        <a:prstGeom prst="roundRect">
          <a:avLst>
            <a:gd name="adj" fmla="val 206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editAs="absolute">
    <xdr:from>
      <xdr:col>11</xdr:col>
      <xdr:colOff>323850</xdr:colOff>
      <xdr:row>1</xdr:row>
      <xdr:rowOff>152400</xdr:rowOff>
    </xdr:from>
    <xdr:to>
      <xdr:col>14</xdr:col>
      <xdr:colOff>0</xdr:colOff>
      <xdr:row>10</xdr:row>
      <xdr:rowOff>12700</xdr:rowOff>
    </xdr:to>
    <xdr:sp macro="" textlink="">
      <xdr:nvSpPr>
        <xdr:cNvPr id="31" name="Rectangle: Rounded Corners 30">
          <a:extLst>
            <a:ext uri="{FF2B5EF4-FFF2-40B4-BE49-F238E27FC236}">
              <a16:creationId xmlns:a16="http://schemas.microsoft.com/office/drawing/2014/main" id="{AEEEE8B7-3EE4-348D-8B7E-DDE840C195CF}"/>
            </a:ext>
          </a:extLst>
        </xdr:cNvPr>
        <xdr:cNvSpPr/>
      </xdr:nvSpPr>
      <xdr:spPr>
        <a:xfrm>
          <a:off x="6985000" y="336550"/>
          <a:ext cx="1504950" cy="1517650"/>
        </a:xfrm>
        <a:prstGeom prst="roundRect">
          <a:avLst>
            <a:gd name="adj" fmla="val 8582"/>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203200</xdr:colOff>
      <xdr:row>3</xdr:row>
      <xdr:rowOff>0</xdr:rowOff>
    </xdr:from>
    <xdr:to>
      <xdr:col>6</xdr:col>
      <xdr:colOff>381000</xdr:colOff>
      <xdr:row>4</xdr:row>
      <xdr:rowOff>82550</xdr:rowOff>
    </xdr:to>
    <xdr:sp macro="" textlink="">
      <xdr:nvSpPr>
        <xdr:cNvPr id="34" name="TextBox 33">
          <a:extLst>
            <a:ext uri="{FF2B5EF4-FFF2-40B4-BE49-F238E27FC236}">
              <a16:creationId xmlns:a16="http://schemas.microsoft.com/office/drawing/2014/main" id="{458A0EFF-93AC-2FE9-2340-210ED870D922}"/>
            </a:ext>
          </a:extLst>
        </xdr:cNvPr>
        <xdr:cNvSpPr txBox="1"/>
      </xdr:nvSpPr>
      <xdr:spPr>
        <a:xfrm>
          <a:off x="812800" y="552450"/>
          <a:ext cx="32258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r>
            <a:rPr lang="en-US" sz="1600">
              <a:solidFill>
                <a:schemeClr val="tx1"/>
              </a:solidFill>
            </a:rPr>
            <a:t>Hospital Emergency Room</a:t>
          </a:r>
          <a:r>
            <a:rPr lang="en-US" sz="1600" baseline="0">
              <a:solidFill>
                <a:schemeClr val="tx1"/>
              </a:solidFill>
            </a:rPr>
            <a:t> Dashboard</a:t>
          </a:r>
          <a:endParaRPr lang="en-US" sz="1600">
            <a:solidFill>
              <a:schemeClr val="tx1"/>
            </a:solidFill>
          </a:endParaRPr>
        </a:p>
      </xdr:txBody>
    </xdr:sp>
    <xdr:clientData/>
  </xdr:twoCellAnchor>
  <xdr:twoCellAnchor editAs="oneCell">
    <xdr:from>
      <xdr:col>0</xdr:col>
      <xdr:colOff>76200</xdr:colOff>
      <xdr:row>2</xdr:row>
      <xdr:rowOff>106888</xdr:rowOff>
    </xdr:from>
    <xdr:to>
      <xdr:col>1</xdr:col>
      <xdr:colOff>190500</xdr:colOff>
      <xdr:row>6</xdr:row>
      <xdr:rowOff>3101</xdr:rowOff>
    </xdr:to>
    <xdr:pic>
      <xdr:nvPicPr>
        <xdr:cNvPr id="36" name="Picture 35">
          <a:extLst>
            <a:ext uri="{FF2B5EF4-FFF2-40B4-BE49-F238E27FC236}">
              <a16:creationId xmlns:a16="http://schemas.microsoft.com/office/drawing/2014/main" id="{43D46BD9-0838-DBEE-534E-5700E7518835}"/>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1450" r="12214"/>
        <a:stretch/>
      </xdr:blipFill>
      <xdr:spPr>
        <a:xfrm>
          <a:off x="76200" y="475188"/>
          <a:ext cx="723900" cy="629712"/>
        </a:xfrm>
        <a:prstGeom prst="rect">
          <a:avLst/>
        </a:prstGeom>
      </xdr:spPr>
    </xdr:pic>
    <xdr:clientData/>
  </xdr:twoCellAnchor>
  <xdr:twoCellAnchor editAs="absolute">
    <xdr:from>
      <xdr:col>2</xdr:col>
      <xdr:colOff>228600</xdr:colOff>
      <xdr:row>4</xdr:row>
      <xdr:rowOff>69850</xdr:rowOff>
    </xdr:from>
    <xdr:to>
      <xdr:col>5</xdr:col>
      <xdr:colOff>273050</xdr:colOff>
      <xdr:row>5</xdr:row>
      <xdr:rowOff>152400</xdr:rowOff>
    </xdr:to>
    <xdr:sp macro="" textlink="">
      <xdr:nvSpPr>
        <xdr:cNvPr id="37" name="TextBox 36">
          <a:extLst>
            <a:ext uri="{FF2B5EF4-FFF2-40B4-BE49-F238E27FC236}">
              <a16:creationId xmlns:a16="http://schemas.microsoft.com/office/drawing/2014/main" id="{C0CB7364-9D6D-4F29-86EB-AD4C9CB1217C}"/>
            </a:ext>
          </a:extLst>
        </xdr:cNvPr>
        <xdr:cNvSpPr txBox="1"/>
      </xdr:nvSpPr>
      <xdr:spPr>
        <a:xfrm>
          <a:off x="1447800" y="806450"/>
          <a:ext cx="18732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r>
            <a:rPr lang="en-US" sz="1600">
              <a:solidFill>
                <a:schemeClr val="tx1"/>
              </a:solidFill>
            </a:rPr>
            <a:t>Monthly</a:t>
          </a:r>
          <a:r>
            <a:rPr lang="en-US" sz="1600" baseline="0">
              <a:solidFill>
                <a:schemeClr val="tx1"/>
              </a:solidFill>
            </a:rPr>
            <a:t> Report</a:t>
          </a:r>
          <a:endParaRPr lang="en-US" sz="1600">
            <a:solidFill>
              <a:schemeClr val="tx1"/>
            </a:solidFill>
          </a:endParaRPr>
        </a:p>
      </xdr:txBody>
    </xdr:sp>
    <xdr:clientData/>
  </xdr:twoCellAnchor>
  <xdr:twoCellAnchor editAs="absolute">
    <xdr:from>
      <xdr:col>2</xdr:col>
      <xdr:colOff>152400</xdr:colOff>
      <xdr:row>8</xdr:row>
      <xdr:rowOff>0</xdr:rowOff>
    </xdr:from>
    <xdr:to>
      <xdr:col>4</xdr:col>
      <xdr:colOff>279400</xdr:colOff>
      <xdr:row>9</xdr:row>
      <xdr:rowOff>36830</xdr:rowOff>
    </xdr:to>
    <xdr:sp macro="" textlink="">
      <xdr:nvSpPr>
        <xdr:cNvPr id="38" name="TextBox 37">
          <a:extLst>
            <a:ext uri="{FF2B5EF4-FFF2-40B4-BE49-F238E27FC236}">
              <a16:creationId xmlns:a16="http://schemas.microsoft.com/office/drawing/2014/main" id="{525C001E-C613-42CF-B2B1-A5FBA6823FEA}"/>
            </a:ext>
          </a:extLst>
        </xdr:cNvPr>
        <xdr:cNvSpPr txBox="1"/>
      </xdr:nvSpPr>
      <xdr:spPr>
        <a:xfrm>
          <a:off x="1371600" y="1473200"/>
          <a:ext cx="134620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900">
              <a:solidFill>
                <a:schemeClr val="tx1"/>
              </a:solidFill>
            </a:rPr>
            <a:t>No. Of Patient</a:t>
          </a:r>
        </a:p>
      </xdr:txBody>
    </xdr:sp>
    <xdr:clientData/>
  </xdr:twoCellAnchor>
  <xdr:twoCellAnchor editAs="absolute">
    <xdr:from>
      <xdr:col>2</xdr:col>
      <xdr:colOff>298450</xdr:colOff>
      <xdr:row>7</xdr:row>
      <xdr:rowOff>44450</xdr:rowOff>
    </xdr:from>
    <xdr:to>
      <xdr:col>4</xdr:col>
      <xdr:colOff>285750</xdr:colOff>
      <xdr:row>8</xdr:row>
      <xdr:rowOff>19050</xdr:rowOff>
    </xdr:to>
    <xdr:sp macro="" textlink="'Pivot Report'!A9">
      <xdr:nvSpPr>
        <xdr:cNvPr id="41" name="TextBox 40">
          <a:extLst>
            <a:ext uri="{FF2B5EF4-FFF2-40B4-BE49-F238E27FC236}">
              <a16:creationId xmlns:a16="http://schemas.microsoft.com/office/drawing/2014/main" id="{18793325-8126-4C2F-D020-FFB324058420}"/>
            </a:ext>
          </a:extLst>
        </xdr:cNvPr>
        <xdr:cNvSpPr txBox="1"/>
      </xdr:nvSpPr>
      <xdr:spPr>
        <a:xfrm>
          <a:off x="1517650" y="1333500"/>
          <a:ext cx="1206500" cy="158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F46717F4-9631-40FB-9246-9A88DF2B6F47}" type="TxLink">
            <a:rPr lang="en-US" sz="1100" b="1" i="0" u="none" strike="noStrike">
              <a:solidFill>
                <a:srgbClr val="000000"/>
              </a:solidFill>
              <a:latin typeface="Aptos Narrow"/>
            </a:rPr>
            <a:pPr algn="ctr"/>
            <a:t>154</a:t>
          </a:fld>
          <a:endParaRPr lang="en-US" sz="1600" b="1">
            <a:solidFill>
              <a:schemeClr val="tx1"/>
            </a:solidFill>
          </a:endParaRPr>
        </a:p>
      </xdr:txBody>
    </xdr:sp>
    <xdr:clientData/>
  </xdr:twoCellAnchor>
  <xdr:twoCellAnchor editAs="absolute">
    <xdr:from>
      <xdr:col>4</xdr:col>
      <xdr:colOff>405572</xdr:colOff>
      <xdr:row>7</xdr:row>
      <xdr:rowOff>147638</xdr:rowOff>
    </xdr:from>
    <xdr:to>
      <xdr:col>6</xdr:col>
      <xdr:colOff>532572</xdr:colOff>
      <xdr:row>9</xdr:row>
      <xdr:rowOff>318</xdr:rowOff>
    </xdr:to>
    <xdr:sp macro="" textlink="">
      <xdr:nvSpPr>
        <xdr:cNvPr id="42" name="TextBox 41">
          <a:extLst>
            <a:ext uri="{FF2B5EF4-FFF2-40B4-BE49-F238E27FC236}">
              <a16:creationId xmlns:a16="http://schemas.microsoft.com/office/drawing/2014/main" id="{95D0B2C5-4DF0-4C4C-9CE5-EA73DD349DAD}"/>
            </a:ext>
          </a:extLst>
        </xdr:cNvPr>
        <xdr:cNvSpPr txBox="1"/>
      </xdr:nvSpPr>
      <xdr:spPr>
        <a:xfrm>
          <a:off x="2843972" y="1436688"/>
          <a:ext cx="134620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800">
              <a:solidFill>
                <a:schemeClr val="tx1"/>
              </a:solidFill>
            </a:rPr>
            <a:t>Avg Wait Time</a:t>
          </a:r>
        </a:p>
      </xdr:txBody>
    </xdr:sp>
    <xdr:clientData/>
  </xdr:twoCellAnchor>
  <xdr:twoCellAnchor editAs="absolute">
    <xdr:from>
      <xdr:col>4</xdr:col>
      <xdr:colOff>399222</xdr:colOff>
      <xdr:row>6</xdr:row>
      <xdr:rowOff>141288</xdr:rowOff>
    </xdr:from>
    <xdr:to>
      <xdr:col>6</xdr:col>
      <xdr:colOff>538922</xdr:colOff>
      <xdr:row>7</xdr:row>
      <xdr:rowOff>166688</xdr:rowOff>
    </xdr:to>
    <xdr:sp macro="" textlink="'Pivot Report'!A13">
      <xdr:nvSpPr>
        <xdr:cNvPr id="43" name="TextBox 42">
          <a:extLst>
            <a:ext uri="{FF2B5EF4-FFF2-40B4-BE49-F238E27FC236}">
              <a16:creationId xmlns:a16="http://schemas.microsoft.com/office/drawing/2014/main" id="{BC5B9411-4A12-4447-A061-F56115BE38FE}"/>
            </a:ext>
          </a:extLst>
        </xdr:cNvPr>
        <xdr:cNvSpPr txBox="1"/>
      </xdr:nvSpPr>
      <xdr:spPr>
        <a:xfrm>
          <a:off x="2837622" y="1246188"/>
          <a:ext cx="13589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528BD620-D991-4D5A-AF4C-F80EF7CC19A4}" type="TxLink">
            <a:rPr lang="en-US" sz="1100" b="1" i="0" u="none" strike="noStrike">
              <a:solidFill>
                <a:srgbClr val="000000"/>
              </a:solidFill>
              <a:latin typeface="Aptos Narrow"/>
            </a:rPr>
            <a:pPr algn="ctr"/>
            <a:t>35.27</a:t>
          </a:fld>
          <a:endParaRPr lang="en-US" sz="1600" b="1">
            <a:solidFill>
              <a:schemeClr val="tx1"/>
            </a:solidFill>
          </a:endParaRPr>
        </a:p>
      </xdr:txBody>
    </xdr:sp>
    <xdr:clientData/>
  </xdr:twoCellAnchor>
  <xdr:twoCellAnchor editAs="absolute">
    <xdr:from>
      <xdr:col>16</xdr:col>
      <xdr:colOff>909</xdr:colOff>
      <xdr:row>5</xdr:row>
      <xdr:rowOff>44450</xdr:rowOff>
    </xdr:from>
    <xdr:to>
      <xdr:col>18</xdr:col>
      <xdr:colOff>126172</xdr:colOff>
      <xdr:row>5</xdr:row>
      <xdr:rowOff>171768</xdr:rowOff>
    </xdr:to>
    <xdr:sp macro="" textlink="">
      <xdr:nvSpPr>
        <xdr:cNvPr id="44" name="TextBox 43">
          <a:extLst>
            <a:ext uri="{FF2B5EF4-FFF2-40B4-BE49-F238E27FC236}">
              <a16:creationId xmlns:a16="http://schemas.microsoft.com/office/drawing/2014/main" id="{2AD29E44-00BC-4952-9F77-F20B3508F0AB}"/>
            </a:ext>
          </a:extLst>
        </xdr:cNvPr>
        <xdr:cNvSpPr txBox="1"/>
      </xdr:nvSpPr>
      <xdr:spPr>
        <a:xfrm>
          <a:off x="9708322" y="965200"/>
          <a:ext cx="1346200" cy="1273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endParaRPr lang="en-US" sz="1200">
            <a:solidFill>
              <a:schemeClr val="tx1"/>
            </a:solidFill>
          </a:endParaRPr>
        </a:p>
      </xdr:txBody>
    </xdr:sp>
    <xdr:clientData/>
  </xdr:twoCellAnchor>
  <xdr:twoCellAnchor editAs="absolute">
    <xdr:from>
      <xdr:col>7</xdr:col>
      <xdr:colOff>0</xdr:colOff>
      <xdr:row>8</xdr:row>
      <xdr:rowOff>25400</xdr:rowOff>
    </xdr:from>
    <xdr:to>
      <xdr:col>9</xdr:col>
      <xdr:colOff>12700</xdr:colOff>
      <xdr:row>8</xdr:row>
      <xdr:rowOff>177800</xdr:rowOff>
    </xdr:to>
    <xdr:sp macro="" textlink="">
      <xdr:nvSpPr>
        <xdr:cNvPr id="46" name="TextBox 45">
          <a:extLst>
            <a:ext uri="{FF2B5EF4-FFF2-40B4-BE49-F238E27FC236}">
              <a16:creationId xmlns:a16="http://schemas.microsoft.com/office/drawing/2014/main" id="{8BFC7E2D-5916-4899-8EDD-2A33D1CEAF04}"/>
            </a:ext>
          </a:extLst>
        </xdr:cNvPr>
        <xdr:cNvSpPr txBox="1"/>
      </xdr:nvSpPr>
      <xdr:spPr>
        <a:xfrm>
          <a:off x="4267200" y="1498600"/>
          <a:ext cx="1187450" cy="152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800">
              <a:solidFill>
                <a:schemeClr val="tx1"/>
              </a:solidFill>
            </a:rPr>
            <a:t>Patient Satisfaction Score</a:t>
          </a:r>
        </a:p>
      </xdr:txBody>
    </xdr:sp>
    <xdr:clientData/>
  </xdr:twoCellAnchor>
  <xdr:twoCellAnchor editAs="absolute">
    <xdr:from>
      <xdr:col>7</xdr:col>
      <xdr:colOff>19050</xdr:colOff>
      <xdr:row>6</xdr:row>
      <xdr:rowOff>177800</xdr:rowOff>
    </xdr:from>
    <xdr:to>
      <xdr:col>9</xdr:col>
      <xdr:colOff>12700</xdr:colOff>
      <xdr:row>8</xdr:row>
      <xdr:rowOff>14288</xdr:rowOff>
    </xdr:to>
    <xdr:sp macro="" textlink="'Pivot Report'!A17">
      <xdr:nvSpPr>
        <xdr:cNvPr id="47" name="TextBox 46">
          <a:extLst>
            <a:ext uri="{FF2B5EF4-FFF2-40B4-BE49-F238E27FC236}">
              <a16:creationId xmlns:a16="http://schemas.microsoft.com/office/drawing/2014/main" id="{57588B55-8C9A-4D3C-9D0B-3439E69E79B5}"/>
            </a:ext>
          </a:extLst>
        </xdr:cNvPr>
        <xdr:cNvSpPr txBox="1"/>
      </xdr:nvSpPr>
      <xdr:spPr>
        <a:xfrm>
          <a:off x="4286250" y="1282700"/>
          <a:ext cx="1168400" cy="2047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03FA98B3-C6DC-4D13-97F4-7521984931D1}" type="TxLink">
            <a:rPr lang="en-US" sz="1100" b="1" i="0" u="none" strike="noStrike">
              <a:solidFill>
                <a:srgbClr val="000000"/>
              </a:solidFill>
              <a:latin typeface="Aptos Narrow"/>
            </a:rPr>
            <a:pPr algn="ctr"/>
            <a:t>4.80</a:t>
          </a:fld>
          <a:endParaRPr lang="en-US" sz="1600" b="1">
            <a:solidFill>
              <a:schemeClr val="tx1"/>
            </a:solidFill>
          </a:endParaRPr>
        </a:p>
      </xdr:txBody>
    </xdr:sp>
    <xdr:clientData/>
  </xdr:twoCellAnchor>
  <xdr:twoCellAnchor editAs="oneCell">
    <xdr:from>
      <xdr:col>3</xdr:col>
      <xdr:colOff>558800</xdr:colOff>
      <xdr:row>6</xdr:row>
      <xdr:rowOff>107950</xdr:rowOff>
    </xdr:from>
    <xdr:to>
      <xdr:col>4</xdr:col>
      <xdr:colOff>266700</xdr:colOff>
      <xdr:row>8</xdr:row>
      <xdr:rowOff>57150</xdr:rowOff>
    </xdr:to>
    <xdr:pic>
      <xdr:nvPicPr>
        <xdr:cNvPr id="49" name="Graphic 48" descr="Male profile with solid fill">
          <a:extLst>
            <a:ext uri="{FF2B5EF4-FFF2-40B4-BE49-F238E27FC236}">
              <a16:creationId xmlns:a16="http://schemas.microsoft.com/office/drawing/2014/main" id="{084A76B1-18BC-10AA-D796-A2FAF1D5D3C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387600" y="1212850"/>
          <a:ext cx="317500" cy="317500"/>
        </a:xfrm>
        <a:prstGeom prst="rect">
          <a:avLst/>
        </a:prstGeom>
      </xdr:spPr>
    </xdr:pic>
    <xdr:clientData/>
  </xdr:twoCellAnchor>
  <xdr:twoCellAnchor editAs="oneCell">
    <xdr:from>
      <xdr:col>6</xdr:col>
      <xdr:colOff>222250</xdr:colOff>
      <xdr:row>6</xdr:row>
      <xdr:rowOff>133350</xdr:rowOff>
    </xdr:from>
    <xdr:to>
      <xdr:col>6</xdr:col>
      <xdr:colOff>520700</xdr:colOff>
      <xdr:row>8</xdr:row>
      <xdr:rowOff>38100</xdr:rowOff>
    </xdr:to>
    <xdr:pic>
      <xdr:nvPicPr>
        <xdr:cNvPr id="57" name="Graphic 56" descr="Hourglass 30% with solid fill">
          <a:extLst>
            <a:ext uri="{FF2B5EF4-FFF2-40B4-BE49-F238E27FC236}">
              <a16:creationId xmlns:a16="http://schemas.microsoft.com/office/drawing/2014/main" id="{6B8B9762-9401-0C7C-F416-F9427DED857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879850" y="1238250"/>
          <a:ext cx="298450" cy="273050"/>
        </a:xfrm>
        <a:prstGeom prst="rect">
          <a:avLst/>
        </a:prstGeom>
      </xdr:spPr>
    </xdr:pic>
    <xdr:clientData/>
  </xdr:twoCellAnchor>
  <xdr:twoCellAnchor editAs="oneCell">
    <xdr:from>
      <xdr:col>8</xdr:col>
      <xdr:colOff>203200</xdr:colOff>
      <xdr:row>6</xdr:row>
      <xdr:rowOff>95250</xdr:rowOff>
    </xdr:from>
    <xdr:to>
      <xdr:col>9</xdr:col>
      <xdr:colOff>19050</xdr:colOff>
      <xdr:row>8</xdr:row>
      <xdr:rowOff>107950</xdr:rowOff>
    </xdr:to>
    <xdr:pic>
      <xdr:nvPicPr>
        <xdr:cNvPr id="59" name="Graphic 58" descr="Rating with solid fill">
          <a:extLst>
            <a:ext uri="{FF2B5EF4-FFF2-40B4-BE49-F238E27FC236}">
              <a16:creationId xmlns:a16="http://schemas.microsoft.com/office/drawing/2014/main" id="{F5E379FC-FCB4-D26A-7F00-E027BB27F72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080000" y="1200150"/>
          <a:ext cx="381000" cy="381000"/>
        </a:xfrm>
        <a:prstGeom prst="rect">
          <a:avLst/>
        </a:prstGeom>
      </xdr:spPr>
    </xdr:pic>
    <xdr:clientData/>
  </xdr:twoCellAnchor>
  <xdr:twoCellAnchor editAs="oneCell">
    <xdr:from>
      <xdr:col>0</xdr:col>
      <xdr:colOff>44450</xdr:colOff>
      <xdr:row>6</xdr:row>
      <xdr:rowOff>152400</xdr:rowOff>
    </xdr:from>
    <xdr:to>
      <xdr:col>2</xdr:col>
      <xdr:colOff>2540</xdr:colOff>
      <xdr:row>20</xdr:row>
      <xdr:rowOff>120650</xdr:rowOff>
    </xdr:to>
    <mc:AlternateContent xmlns:mc="http://schemas.openxmlformats.org/markup-compatibility/2006" xmlns:a14="http://schemas.microsoft.com/office/drawing/2010/main">
      <mc:Choice Requires="a14">
        <xdr:graphicFrame macro="">
          <xdr:nvGraphicFramePr>
            <xdr:cNvPr id="60" name="Date (Month)">
              <a:extLst>
                <a:ext uri="{FF2B5EF4-FFF2-40B4-BE49-F238E27FC236}">
                  <a16:creationId xmlns:a16="http://schemas.microsoft.com/office/drawing/2014/main" id="{CD06FA18-2689-4138-972C-B301D9E8F50D}"/>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44450" y="1257300"/>
              <a:ext cx="1177290" cy="2546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215900</xdr:colOff>
      <xdr:row>8</xdr:row>
      <xdr:rowOff>107950</xdr:rowOff>
    </xdr:from>
    <xdr:to>
      <xdr:col>4</xdr:col>
      <xdr:colOff>355600</xdr:colOff>
      <xdr:row>11</xdr:row>
      <xdr:rowOff>127000</xdr:rowOff>
    </xdr:to>
    <xdr:graphicFrame macro="">
      <xdr:nvGraphicFramePr>
        <xdr:cNvPr id="62" name="Chart 61">
          <a:extLst>
            <a:ext uri="{FF2B5EF4-FFF2-40B4-BE49-F238E27FC236}">
              <a16:creationId xmlns:a16="http://schemas.microsoft.com/office/drawing/2014/main" id="{FD8944FD-918F-14A3-7448-85CA05A135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431800</xdr:colOff>
      <xdr:row>8</xdr:row>
      <xdr:rowOff>127000</xdr:rowOff>
    </xdr:from>
    <xdr:to>
      <xdr:col>6</xdr:col>
      <xdr:colOff>520700</xdr:colOff>
      <xdr:row>11</xdr:row>
      <xdr:rowOff>127000</xdr:rowOff>
    </xdr:to>
    <xdr:graphicFrame macro="">
      <xdr:nvGraphicFramePr>
        <xdr:cNvPr id="63" name="Chart 62">
          <a:hlinkClick xmlns:r="http://schemas.openxmlformats.org/officeDocument/2006/relationships" r:id="rId10"/>
          <a:extLst>
            <a:ext uri="{FF2B5EF4-FFF2-40B4-BE49-F238E27FC236}">
              <a16:creationId xmlns:a16="http://schemas.microsoft.com/office/drawing/2014/main" id="{D826BFEC-B0F2-452F-83D7-14CD0BF20F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25400</xdr:colOff>
      <xdr:row>8</xdr:row>
      <xdr:rowOff>101600</xdr:rowOff>
    </xdr:from>
    <xdr:to>
      <xdr:col>9</xdr:col>
      <xdr:colOff>31750</xdr:colOff>
      <xdr:row>11</xdr:row>
      <xdr:rowOff>120650</xdr:rowOff>
    </xdr:to>
    <xdr:graphicFrame macro="">
      <xdr:nvGraphicFramePr>
        <xdr:cNvPr id="10" name="Chart 9">
          <a:hlinkClick xmlns:r="http://schemas.openxmlformats.org/officeDocument/2006/relationships" r:id="rId12"/>
          <a:extLst>
            <a:ext uri="{FF2B5EF4-FFF2-40B4-BE49-F238E27FC236}">
              <a16:creationId xmlns:a16="http://schemas.microsoft.com/office/drawing/2014/main" id="{A84F6CA9-9B9A-4F11-A13C-7101287368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203200</xdr:colOff>
          <xdr:row>11</xdr:row>
          <xdr:rowOff>177800</xdr:rowOff>
        </xdr:from>
        <xdr:to>
          <xdr:col>8</xdr:col>
          <xdr:colOff>558800</xdr:colOff>
          <xdr:row>14</xdr:row>
          <xdr:rowOff>69850</xdr:rowOff>
        </xdr:to>
        <xdr:pic>
          <xdr:nvPicPr>
            <xdr:cNvPr id="14" name="Picture 13">
              <a:extLst>
                <a:ext uri="{FF2B5EF4-FFF2-40B4-BE49-F238E27FC236}">
                  <a16:creationId xmlns:a16="http://schemas.microsoft.com/office/drawing/2014/main" id="{382D091C-AE40-831D-47AD-0DEB55A4EE16}"/>
                </a:ext>
              </a:extLst>
            </xdr:cNvPr>
            <xdr:cNvPicPr>
              <a:picLocks noChangeAspect="1" noChangeArrowheads="1"/>
              <a:extLst>
                <a:ext uri="{84589F7E-364E-4C9E-8A38-B11213B215E9}">
                  <a14:cameraTool cellRange="'Pivot Report'!$A$31:$D$33" spid="_x0000_s1057"/>
                </a:ext>
              </a:extLst>
            </xdr:cNvPicPr>
          </xdr:nvPicPr>
          <xdr:blipFill>
            <a:blip xmlns:r="http://schemas.openxmlformats.org/officeDocument/2006/relationships" r:embed="rId14"/>
            <a:srcRect/>
            <a:stretch>
              <a:fillRect/>
            </a:stretch>
          </xdr:blipFill>
          <xdr:spPr bwMode="auto">
            <a:xfrm>
              <a:off x="1422400" y="2203450"/>
              <a:ext cx="4013200" cy="44450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2</xdr:col>
      <xdr:colOff>203200</xdr:colOff>
      <xdr:row>14</xdr:row>
      <xdr:rowOff>127000</xdr:rowOff>
    </xdr:from>
    <xdr:to>
      <xdr:col>9</xdr:col>
      <xdr:colOff>25400</xdr:colOff>
      <xdr:row>20</xdr:row>
      <xdr:rowOff>57150</xdr:rowOff>
    </xdr:to>
    <xdr:graphicFrame macro="">
      <xdr:nvGraphicFramePr>
        <xdr:cNvPr id="15" name="Chart 14">
          <a:extLst>
            <a:ext uri="{FF2B5EF4-FFF2-40B4-BE49-F238E27FC236}">
              <a16:creationId xmlns:a16="http://schemas.microsoft.com/office/drawing/2014/main" id="{CAB4C88C-0E45-42FF-8F35-959AEE1415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4</xdr:col>
      <xdr:colOff>50800</xdr:colOff>
      <xdr:row>19</xdr:row>
      <xdr:rowOff>158750</xdr:rowOff>
    </xdr:from>
    <xdr:to>
      <xdr:col>6</xdr:col>
      <xdr:colOff>177800</xdr:colOff>
      <xdr:row>20</xdr:row>
      <xdr:rowOff>127000</xdr:rowOff>
    </xdr:to>
    <xdr:sp macro="" textlink="">
      <xdr:nvSpPr>
        <xdr:cNvPr id="19" name="TextBox 18">
          <a:extLst>
            <a:ext uri="{FF2B5EF4-FFF2-40B4-BE49-F238E27FC236}">
              <a16:creationId xmlns:a16="http://schemas.microsoft.com/office/drawing/2014/main" id="{3E2547B8-903B-485C-DDA7-73B0C66D5D73}"/>
            </a:ext>
          </a:extLst>
        </xdr:cNvPr>
        <xdr:cNvSpPr txBox="1"/>
      </xdr:nvSpPr>
      <xdr:spPr>
        <a:xfrm>
          <a:off x="2489200" y="3657600"/>
          <a:ext cx="1346200" cy="152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900">
              <a:solidFill>
                <a:schemeClr val="tx1"/>
              </a:solidFill>
            </a:rPr>
            <a:t>No of</a:t>
          </a:r>
          <a:r>
            <a:rPr lang="en-US" sz="900" baseline="0">
              <a:solidFill>
                <a:schemeClr val="tx1"/>
              </a:solidFill>
            </a:rPr>
            <a:t> Patient </a:t>
          </a:r>
          <a:r>
            <a:rPr lang="en-US" sz="900">
              <a:solidFill>
                <a:schemeClr val="tx1"/>
              </a:solidFill>
            </a:rPr>
            <a:t>Age Group</a:t>
          </a:r>
        </a:p>
      </xdr:txBody>
    </xdr:sp>
    <xdr:clientData/>
  </xdr:twoCellAnchor>
  <xdr:twoCellAnchor>
    <xdr:from>
      <xdr:col>8</xdr:col>
      <xdr:colOff>552450</xdr:colOff>
      <xdr:row>2</xdr:row>
      <xdr:rowOff>38100</xdr:rowOff>
    </xdr:from>
    <xdr:to>
      <xdr:col>12</xdr:col>
      <xdr:colOff>247650</xdr:colOff>
      <xdr:row>9</xdr:row>
      <xdr:rowOff>165099</xdr:rowOff>
    </xdr:to>
    <xdr:graphicFrame macro="">
      <xdr:nvGraphicFramePr>
        <xdr:cNvPr id="22" name="Chart 21">
          <a:extLst>
            <a:ext uri="{FF2B5EF4-FFF2-40B4-BE49-F238E27FC236}">
              <a16:creationId xmlns:a16="http://schemas.microsoft.com/office/drawing/2014/main" id="{543DA13E-56AA-4A86-BE8B-9EE98D1B06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9</xdr:col>
      <xdr:colOff>266700</xdr:colOff>
      <xdr:row>9</xdr:row>
      <xdr:rowOff>38099</xdr:rowOff>
    </xdr:from>
    <xdr:to>
      <xdr:col>11</xdr:col>
      <xdr:colOff>165100</xdr:colOff>
      <xdr:row>10</xdr:row>
      <xdr:rowOff>12698</xdr:rowOff>
    </xdr:to>
    <xdr:sp macro="" textlink="">
      <xdr:nvSpPr>
        <xdr:cNvPr id="23" name="TextBox 22">
          <a:extLst>
            <a:ext uri="{FF2B5EF4-FFF2-40B4-BE49-F238E27FC236}">
              <a16:creationId xmlns:a16="http://schemas.microsoft.com/office/drawing/2014/main" id="{DEF88D93-3BA8-8012-5E6F-94350E18415F}"/>
            </a:ext>
          </a:extLst>
        </xdr:cNvPr>
        <xdr:cNvSpPr txBox="1"/>
      </xdr:nvSpPr>
      <xdr:spPr>
        <a:xfrm>
          <a:off x="5708650" y="1695449"/>
          <a:ext cx="1117600" cy="158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800">
              <a:solidFill>
                <a:schemeClr val="tx1"/>
              </a:solidFill>
            </a:rPr>
            <a:t>Patient Attended</a:t>
          </a:r>
          <a:r>
            <a:rPr lang="en-US" sz="800" baseline="0">
              <a:solidFill>
                <a:schemeClr val="tx1"/>
              </a:solidFill>
            </a:rPr>
            <a:t> Status</a:t>
          </a:r>
          <a:endParaRPr lang="en-US" sz="800">
            <a:solidFill>
              <a:schemeClr val="tx1"/>
            </a:solidFill>
          </a:endParaRPr>
        </a:p>
      </xdr:txBody>
    </xdr:sp>
    <xdr:clientData/>
  </xdr:twoCellAnchor>
  <xdr:twoCellAnchor>
    <xdr:from>
      <xdr:col>11</xdr:col>
      <xdr:colOff>323850</xdr:colOff>
      <xdr:row>1</xdr:row>
      <xdr:rowOff>152400</xdr:rowOff>
    </xdr:from>
    <xdr:to>
      <xdr:col>14</xdr:col>
      <xdr:colOff>6350</xdr:colOff>
      <xdr:row>9</xdr:row>
      <xdr:rowOff>139700</xdr:rowOff>
    </xdr:to>
    <xdr:graphicFrame macro="">
      <xdr:nvGraphicFramePr>
        <xdr:cNvPr id="24" name="Chart 23">
          <a:extLst>
            <a:ext uri="{FF2B5EF4-FFF2-40B4-BE49-F238E27FC236}">
              <a16:creationId xmlns:a16="http://schemas.microsoft.com/office/drawing/2014/main" id="{DA7FB80C-D4AA-44CA-A465-129311F9B5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11</xdr:col>
      <xdr:colOff>469900</xdr:colOff>
      <xdr:row>9</xdr:row>
      <xdr:rowOff>25400</xdr:rowOff>
    </xdr:from>
    <xdr:to>
      <xdr:col>13</xdr:col>
      <xdr:colOff>438150</xdr:colOff>
      <xdr:row>9</xdr:row>
      <xdr:rowOff>177800</xdr:rowOff>
    </xdr:to>
    <xdr:sp macro="" textlink="">
      <xdr:nvSpPr>
        <xdr:cNvPr id="25" name="TextBox 24">
          <a:extLst>
            <a:ext uri="{FF2B5EF4-FFF2-40B4-BE49-F238E27FC236}">
              <a16:creationId xmlns:a16="http://schemas.microsoft.com/office/drawing/2014/main" id="{A09C627A-274D-45C5-8421-089E5A62D69D}"/>
            </a:ext>
          </a:extLst>
        </xdr:cNvPr>
        <xdr:cNvSpPr txBox="1"/>
      </xdr:nvSpPr>
      <xdr:spPr>
        <a:xfrm>
          <a:off x="7131050" y="1682750"/>
          <a:ext cx="1187450" cy="152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800">
              <a:solidFill>
                <a:schemeClr val="tx1"/>
              </a:solidFill>
            </a:rPr>
            <a:t>Gender</a:t>
          </a:r>
          <a:r>
            <a:rPr lang="en-US" sz="800" baseline="0">
              <a:solidFill>
                <a:schemeClr val="tx1"/>
              </a:solidFill>
            </a:rPr>
            <a:t> Wise Analysis</a:t>
          </a:r>
          <a:endParaRPr lang="en-US" sz="800">
            <a:solidFill>
              <a:schemeClr val="tx1"/>
            </a:solidFill>
          </a:endParaRPr>
        </a:p>
      </xdr:txBody>
    </xdr:sp>
    <xdr:clientData/>
  </xdr:twoCellAnchor>
  <xdr:twoCellAnchor>
    <xdr:from>
      <xdr:col>9</xdr:col>
      <xdr:colOff>19050</xdr:colOff>
      <xdr:row>10</xdr:row>
      <xdr:rowOff>69850</xdr:rowOff>
    </xdr:from>
    <xdr:to>
      <xdr:col>14</xdr:col>
      <xdr:colOff>63500</xdr:colOff>
      <xdr:row>19</xdr:row>
      <xdr:rowOff>101600</xdr:rowOff>
    </xdr:to>
    <xdr:graphicFrame macro="">
      <xdr:nvGraphicFramePr>
        <xdr:cNvPr id="26" name="Chart 25">
          <a:extLst>
            <a:ext uri="{FF2B5EF4-FFF2-40B4-BE49-F238E27FC236}">
              <a16:creationId xmlns:a16="http://schemas.microsoft.com/office/drawing/2014/main" id="{B90CAD01-DFCF-40DC-B91E-3A42E79B05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absolute">
    <xdr:from>
      <xdr:col>10</xdr:col>
      <xdr:colOff>95250</xdr:colOff>
      <xdr:row>19</xdr:row>
      <xdr:rowOff>107949</xdr:rowOff>
    </xdr:from>
    <xdr:to>
      <xdr:col>13</xdr:col>
      <xdr:colOff>355600</xdr:colOff>
      <xdr:row>20</xdr:row>
      <xdr:rowOff>63500</xdr:rowOff>
    </xdr:to>
    <xdr:sp macro="" textlink="">
      <xdr:nvSpPr>
        <xdr:cNvPr id="32" name="TextBox 31">
          <a:extLst>
            <a:ext uri="{FF2B5EF4-FFF2-40B4-BE49-F238E27FC236}">
              <a16:creationId xmlns:a16="http://schemas.microsoft.com/office/drawing/2014/main" id="{26FCA708-46D4-E8FC-5C5B-F0D8AE547074}"/>
            </a:ext>
          </a:extLst>
        </xdr:cNvPr>
        <xdr:cNvSpPr txBox="1"/>
      </xdr:nvSpPr>
      <xdr:spPr>
        <a:xfrm>
          <a:off x="6146800" y="3606799"/>
          <a:ext cx="2089150" cy="139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800">
              <a:solidFill>
                <a:schemeClr val="tx1"/>
              </a:solidFill>
            </a:rPr>
            <a:t>No</a:t>
          </a:r>
          <a:r>
            <a:rPr lang="en-US" sz="800" baseline="0">
              <a:solidFill>
                <a:schemeClr val="tx1"/>
              </a:solidFill>
            </a:rPr>
            <a:t> of Patient by Departnment Refrral</a:t>
          </a:r>
          <a:endParaRPr lang="en-US" sz="800">
            <a:solidFill>
              <a:schemeClr val="tx1"/>
            </a:solidFill>
          </a:endParaRPr>
        </a:p>
      </xdr:txBody>
    </xdr:sp>
    <xdr:clientData/>
  </xdr:twoCellAnchor>
  <xdr:twoCellAnchor editAs="oneCell">
    <xdr:from>
      <xdr:col>6</xdr:col>
      <xdr:colOff>539750</xdr:colOff>
      <xdr:row>2</xdr:row>
      <xdr:rowOff>19050</xdr:rowOff>
    </xdr:from>
    <xdr:to>
      <xdr:col>8</xdr:col>
      <xdr:colOff>508000</xdr:colOff>
      <xdr:row>6</xdr:row>
      <xdr:rowOff>12700</xdr:rowOff>
    </xdr:to>
    <mc:AlternateContent xmlns:mc="http://schemas.openxmlformats.org/markup-compatibility/2006">
      <mc:Choice xmlns:a14="http://schemas.microsoft.com/office/drawing/2010/main" Requires="a14">
        <xdr:graphicFrame macro="">
          <xdr:nvGraphicFramePr>
            <xdr:cNvPr id="33" name="Date (Year) 1">
              <a:extLst>
                <a:ext uri="{FF2B5EF4-FFF2-40B4-BE49-F238E27FC236}">
                  <a16:creationId xmlns:a16="http://schemas.microsoft.com/office/drawing/2014/main" id="{9BB769CD-A6C6-4752-807E-2014FB3720F1}"/>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dr:sp macro="" textlink="">
          <xdr:nvSpPr>
            <xdr:cNvPr id="0" name=""/>
            <xdr:cNvSpPr>
              <a:spLocks noTextEdit="1"/>
            </xdr:cNvSpPr>
          </xdr:nvSpPr>
          <xdr:spPr>
            <a:xfrm>
              <a:off x="4182277" y="381907"/>
              <a:ext cx="1182426" cy="7193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12700</xdr:rowOff>
    </xdr:from>
    <xdr:to>
      <xdr:col>12</xdr:col>
      <xdr:colOff>539750</xdr:colOff>
      <xdr:row>21</xdr:row>
      <xdr:rowOff>158750</xdr:rowOff>
    </xdr:to>
    <xdr:graphicFrame macro="">
      <xdr:nvGraphicFramePr>
        <xdr:cNvPr id="2" name="Chart 1">
          <a:extLst>
            <a:ext uri="{FF2B5EF4-FFF2-40B4-BE49-F238E27FC236}">
              <a16:creationId xmlns:a16="http://schemas.microsoft.com/office/drawing/2014/main" id="{A0F42C20-1317-49A0-BFC6-4C00A3CAFD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25400</xdr:colOff>
      <xdr:row>2</xdr:row>
      <xdr:rowOff>171450</xdr:rowOff>
    </xdr:from>
    <xdr:to>
      <xdr:col>2</xdr:col>
      <xdr:colOff>127000</xdr:colOff>
      <xdr:row>7</xdr:row>
      <xdr:rowOff>0</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15D4435C-33BA-B412-0903-5991BA34F50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35000" y="539750"/>
          <a:ext cx="711200" cy="749300"/>
        </a:xfrm>
        <a:prstGeom prst="rect">
          <a:avLst/>
        </a:prstGeom>
      </xdr:spPr>
    </xdr:pic>
    <xdr:clientData/>
  </xdr:twoCellAnchor>
</xdr:wsDr>
</file>

<file path=xl/drawings/drawing4.xml><?xml version="1.0" encoding="utf-8"?>
<c:userShapes xmlns:c="http://schemas.openxmlformats.org/drawingml/2006/chart">
  <cdr:relSizeAnchor xmlns:cdr="http://schemas.openxmlformats.org/drawingml/2006/chartDrawing">
    <cdr:from>
      <cdr:x>0.05901</cdr:x>
      <cdr:y>0.84019</cdr:y>
    </cdr:from>
    <cdr:to>
      <cdr:x>0.73161</cdr:x>
      <cdr:y>0.88924</cdr:y>
    </cdr:to>
    <cdr:sp macro="" textlink="">
      <cdr:nvSpPr>
        <cdr:cNvPr id="2" name="TextBox 1">
          <a:extLst xmlns:a="http://schemas.openxmlformats.org/drawingml/2006/main">
            <a:ext uri="{FF2B5EF4-FFF2-40B4-BE49-F238E27FC236}">
              <a16:creationId xmlns:a16="http://schemas.microsoft.com/office/drawing/2014/main" id="{5371EBD1-2709-8071-D130-0BD096C723C4}"/>
            </a:ext>
          </a:extLst>
        </cdr:cNvPr>
        <cdr:cNvSpPr txBox="1"/>
      </cdr:nvSpPr>
      <cdr:spPr>
        <a:xfrm xmlns:a="http://schemas.openxmlformats.org/drawingml/2006/main">
          <a:off x="463550" y="3371850"/>
          <a:ext cx="5283200" cy="1968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kern="1200"/>
            <a:t>-Showing Daily Trend</a:t>
          </a:r>
          <a:r>
            <a:rPr lang="en-US" sz="1100" kern="1200" baseline="0"/>
            <a:t> of patient </a:t>
          </a:r>
          <a:endParaRPr lang="en-US" sz="1100" kern="1200"/>
        </a:p>
      </cdr:txBody>
    </cdr:sp>
  </cdr:relSizeAnchor>
</c:userShapes>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10</xdr:col>
      <xdr:colOff>381000</xdr:colOff>
      <xdr:row>19</xdr:row>
      <xdr:rowOff>44450</xdr:rowOff>
    </xdr:to>
    <xdr:graphicFrame macro="">
      <xdr:nvGraphicFramePr>
        <xdr:cNvPr id="2" name="Chart 1">
          <a:extLst>
            <a:ext uri="{FF2B5EF4-FFF2-40B4-BE49-F238E27FC236}">
              <a16:creationId xmlns:a16="http://schemas.microsoft.com/office/drawing/2014/main" id="{FEB4EA26-B871-4791-A4C6-D3B20C8039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0</xdr:col>
      <xdr:colOff>533400</xdr:colOff>
      <xdr:row>2</xdr:row>
      <xdr:rowOff>165100</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689BBE16-0294-E86F-16DA-7468FE5C756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0"/>
          <a:ext cx="533400" cy="5334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146050</xdr:colOff>
      <xdr:row>19</xdr:row>
      <xdr:rowOff>25400</xdr:rowOff>
    </xdr:to>
    <xdr:graphicFrame macro="">
      <xdr:nvGraphicFramePr>
        <xdr:cNvPr id="2" name="Chart 1">
          <a:extLst>
            <a:ext uri="{FF2B5EF4-FFF2-40B4-BE49-F238E27FC236}">
              <a16:creationId xmlns:a16="http://schemas.microsoft.com/office/drawing/2014/main" id="{315940EC-3C9E-4DB8-9B27-37AB60BA54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19050</xdr:colOff>
      <xdr:row>0</xdr:row>
      <xdr:rowOff>0</xdr:rowOff>
    </xdr:from>
    <xdr:to>
      <xdr:col>1</xdr:col>
      <xdr:colOff>88900</xdr:colOff>
      <xdr:row>3</xdr:row>
      <xdr:rowOff>127000</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654A4344-AB4B-B9EE-6F16-063E0EB5439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9050" y="0"/>
          <a:ext cx="679450" cy="67945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nd Mishra, Santosh" refreshedDate="45699.641483449072" createdVersion="5" refreshedVersion="8" minRefreshableVersion="3" recordCount="0" supportSubquery="1" supportAdvancedDrill="1" xr:uid="{76321D02-E564-4B46-A01A-7D238F07C7BC}">
  <cacheSource type="external" connectionId="3"/>
  <cacheFields count="4">
    <cacheField name="[Calender Table].[Date (Month)].[Date (Month)]" caption="Date (Month)" numFmtId="0" hierarchy="1" level="1">
      <sharedItems count="1">
        <s v="Jan"/>
      </sharedItems>
    </cacheField>
    <cacheField name="[Calender Table].[Date].[Date]" caption="Date" numFmtId="0" level="1">
      <sharedItems containsSemiMixedTypes="0" containsNonDate="0" containsDate="1" containsString="0" minDate="2023-01-01T00:00:00" maxDate="2024-02-01T00:00:00" count="62">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sharedItems>
    </cacheField>
    <cacheField name="[Calender Table].[Date (Quarter)].[Date (Quarter)]" caption="Date (Quarter)" numFmtId="0" hierarchy="4" level="1">
      <sharedItems count="1">
        <s v="Qtr1"/>
      </sharedItems>
    </cacheField>
    <cacheField name="[Calender Table].[Date (Year)].[Date (Year)]" caption="Date (Year)" numFmtId="0" hierarchy="3" level="1">
      <sharedItems count="1">
        <s v="2023"/>
      </sharedItems>
    </cacheField>
  </cacheFields>
  <cacheHierarchies count="35">
    <cacheHierarchy uniqueName="[Calender Table].[Date]" caption="Date" attribute="1" time="1" defaultMemberUniqueName="[Calender Table].[Date].[All]" allUniqueName="[Calender Table].[Date].[All]" dimensionUniqueName="[Calender Table]" displayFolder="" count="2" memberValueDatatype="7" unbalanced="0">
      <fieldsUsage count="2">
        <fieldUsage x="-1"/>
        <fieldUsage x="1"/>
      </fieldsUsage>
    </cacheHierarchy>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2"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 Table].[Date (Day Index)]" caption="Date (Day Index)" attribute="1" defaultMemberUniqueName="[Calender Table].[Date (Day Index)].[All]" allUniqueName="[Calender Table].[Date (Day Index)].[All]" dimensionUniqueName="[Calender Table]" displayFolder="" count="2"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nd Mishra, Santosh" refreshedDate="45699.641483796295" createdVersion="5" refreshedVersion="8" minRefreshableVersion="3" recordCount="0" supportSubquery="1" supportAdvancedDrill="1" xr:uid="{4D7644E7-9806-4099-8173-574A2BF48D74}">
  <cacheSource type="external" connectionId="3"/>
  <cacheFields count="3">
    <cacheField name="[Measures].[Average of Patient Waittime]" caption="Average of Patient Waittime" numFmtId="0" hierarchy="26" level="32767"/>
    <cacheField name="[Calender Table].[Date (Month)].[Date (Month)]" caption="Date (Month)" numFmtId="0" hierarchy="1" level="1">
      <sharedItems containsSemiMixedTypes="0" containsNonDate="0" containsString="0"/>
    </cacheField>
    <cacheField name="[Calender Table].[Date (Year)].[Date (Year)]" caption="Date (Year)" numFmtId="0" hierarchy="3" level="1">
      <sharedItems containsSemiMixedTypes="0" containsNonDate="0" containsString="0"/>
    </cacheField>
  </cacheFields>
  <cacheHierarchies count="35">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1"/>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2"/>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nd Mishra, Santosh" refreshedDate="45699.641485069442" createdVersion="5" refreshedVersion="8" minRefreshableVersion="3" recordCount="0" supportSubquery="1" supportAdvancedDrill="1" xr:uid="{40C0FCED-A437-4727-9531-0D05E080CB35}">
  <cacheSource type="external" connectionId="3"/>
  <cacheFields count="4">
    <cacheField name="[Calender Table].[Date (Month)].[Date (Month)]" caption="Date (Month)" numFmtId="0" hierarchy="1" level="1">
      <sharedItems containsSemiMixedTypes="0" containsNonDate="0" containsString="0"/>
    </cacheField>
    <cacheField name="[Measures].[Count of Patient Gender]" caption="Count of Patient Gender" numFmtId="0" hierarchy="33" level="32767"/>
    <cacheField name="[Hospital Emergency Room Data].[Patient Gender].[Patient Gender]" caption="Patient Gender" numFmtId="0" hierarchy="9" level="1">
      <sharedItems count="2">
        <s v="Female"/>
        <s v="Male"/>
      </sharedItems>
    </cacheField>
    <cacheField name="[Calender Table].[Date (Year)].[Date (Year)]" caption="Date (Year)" numFmtId="0" hierarchy="3" level="1">
      <sharedItems containsSemiMixedTypes="0" containsNonDate="0" containsString="0"/>
    </cacheField>
  </cacheFields>
  <cacheHierarchies count="35">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2"/>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nd Mishra, Santosh" refreshedDate="45699.64148564815" createdVersion="5" refreshedVersion="8" minRefreshableVersion="3" recordCount="0" supportSubquery="1" supportAdvancedDrill="1" xr:uid="{F53F3B5C-A6D2-422E-A937-678DBA06E66A}">
  <cacheSource type="external" connectionId="3"/>
  <cacheFields count="4">
    <cacheField name="[Calender Table].[Date (Month)].[Date (Month)]" caption="Date (Month)" numFmtId="0" hierarchy="1" level="1">
      <sharedItems containsSemiMixedTypes="0" containsNonDate="0" containsString="0"/>
    </cacheField>
    <cacheField name="[Measures].[Count of Department Referral]" caption="Count of Department Referral" numFmtId="0" hierarchy="34" level="32767"/>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Calender Table].[Date (Year)].[Date (Year)]" caption="Date (Year)" numFmtId="0" hierarchy="3" level="1">
      <sharedItems containsSemiMixedTypes="0" containsNonDate="0" containsString="0"/>
    </cacheField>
  </cacheFields>
  <cacheHierarchies count="35">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2"/>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1"/>
      </fieldsUsage>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nd Mishra, Santosh" refreshedDate="45699.641486111112" createdVersion="5" refreshedVersion="8" minRefreshableVersion="3" recordCount="0" supportSubquery="1" supportAdvancedDrill="1" xr:uid="{34D1E11F-8244-4B3C-A09F-0C80AE6A48F7}">
  <cacheSource type="external" connectionId="3"/>
  <cacheFields count="3">
    <cacheField name="[Measures].[Distinct Count of Patient Id]" caption="Distinct Count of Patient Id" numFmtId="0" hierarchy="24" level="32767"/>
    <cacheField name="[Calender Table].[Date (Month)].[Date (Month)]" caption="Date (Month)" numFmtId="0" hierarchy="1" level="1">
      <sharedItems containsSemiMixedTypes="0" containsNonDate="0" containsString="0"/>
    </cacheField>
    <cacheField name="[Calender Table].[Date (Year)].[Date (Year)]" caption="Date (Year)" numFmtId="0" hierarchy="3" level="1">
      <sharedItems containsSemiMixedTypes="0" containsNonDate="0" containsString="0"/>
    </cacheField>
  </cacheFields>
  <cacheHierarchies count="35">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1"/>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2"/>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nd Mishra, Santosh" refreshedDate="45699.641486574073" createdVersion="5" refreshedVersion="8" minRefreshableVersion="3" recordCount="0" supportSubquery="1" supportAdvancedDrill="1" xr:uid="{5C977318-DF34-47E3-AAB7-197D5A5434A8}">
  <cacheSource type="external" connectionId="3"/>
  <cacheFields count="3">
    <cacheField name="[Measures].[Average of Patient Satisfaction Score]" caption="Average of Patient Satisfaction Score" numFmtId="0" hierarchy="28" level="32767"/>
    <cacheField name="[Calender Table].[Date (Month)].[Date (Month)]" caption="Date (Month)" numFmtId="0" hierarchy="1" level="1">
      <sharedItems containsSemiMixedTypes="0" containsNonDate="0" containsString="0"/>
    </cacheField>
    <cacheField name="[Calender Table].[Date (Year)].[Date (Year)]" caption="Date (Year)" numFmtId="0" hierarchy="3" level="1">
      <sharedItems containsSemiMixedTypes="0" containsNonDate="0" containsString="0"/>
    </cacheField>
  </cacheFields>
  <cacheHierarchies count="35">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1"/>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2"/>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nd Mishra, Santosh" refreshedDate="45699.641487499997" createdVersion="5" refreshedVersion="8" minRefreshableVersion="3" recordCount="0" supportSubquery="1" supportAdvancedDrill="1" xr:uid="{A1D60E6E-7054-410F-9D4C-CA5BF0BFDD9A}">
  <cacheSource type="external" connectionId="3"/>
  <cacheFields count="4">
    <cacheField name="[Measures].[Distinct Count of Patient Id]" caption="Distinct Count of Patient Id" numFmtId="0" hierarchy="24" level="32767"/>
    <cacheField name="[Calender Table].[Date (Day)].[Date (Day)]" caption="Date (Day)" numFmtId="0" hierarchy="2" level="1">
      <sharedItems count="9">
        <s v="4-Jan"/>
        <s v="5-Jan"/>
        <s v="6-Jan"/>
        <s v="7-Jan"/>
        <s v="8-Jan"/>
        <s v="9-Jan"/>
        <s v="10-Jan"/>
        <s v="11-Jan"/>
        <s v="12-Jan"/>
      </sharedItems>
    </cacheField>
    <cacheField name="[Calender Table].[Date (Month)].[Date (Month)]" caption="Date (Month)" numFmtId="0" hierarchy="1" level="1">
      <sharedItems containsSemiMixedTypes="0" containsNonDate="0" containsString="0"/>
    </cacheField>
    <cacheField name="[Calender Table].[Date (Year)].[Date (Year)]" caption="Date (Year)" numFmtId="0" hierarchy="3" level="1">
      <sharedItems containsSemiMixedTypes="0" containsNonDate="0" containsString="0"/>
    </cacheField>
  </cacheFields>
  <cacheHierarchies count="35">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2"/>
      </fieldsUsage>
    </cacheHierarchy>
    <cacheHierarchy uniqueName="[Calender Table].[Date (Day)]" caption="Date (Day)" attribute="1" defaultMemberUniqueName="[Calender Table].[Date (Day)].[All]" allUniqueName="[Calender Table].[Date (Day)].[All]" dimensionUniqueName="[Calender Table]" displayFolder="" count="2" memberValueDatatype="130" unbalanced="0">
      <fieldsUsage count="2">
        <fieldUsage x="-1"/>
        <fieldUsage x="1"/>
      </fieldsUsage>
    </cacheHierarchy>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nd Mishra, Santosh" refreshedDate="45699.641488194444" createdVersion="5" refreshedVersion="8" minRefreshableVersion="3" recordCount="0" supportSubquery="1" supportAdvancedDrill="1" xr:uid="{43E6A67A-CE2D-433A-A9BF-A31E62DAA64A}">
  <cacheSource type="external" connectionId="3"/>
  <cacheFields count="5">
    <cacheField name="[Calender 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29" level="32767"/>
    <cacheField name="[Calender Table].[Date (Year)].[Date (Year)]" caption="Date (Year)" numFmtId="0" hierarchy="3" level="1">
      <sharedItems containsSemiMixedTypes="0" containsNonDate="0" containsString="0"/>
    </cacheField>
    <cacheField name="Dummy0" numFmtId="0" hierarchy="35" level="32767">
      <extLst>
        <ext xmlns:x14="http://schemas.microsoft.com/office/spreadsheetml/2009/9/main" uri="{63CAB8AC-B538-458d-9737-405883B0398D}">
          <x14:cacheField ignore="1"/>
        </ext>
      </extLst>
    </cacheField>
  </cacheFields>
  <cacheHierarchies count="36">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nd Mishra, Santosh" refreshedDate="45699.641488657406" createdVersion="5" refreshedVersion="8" minRefreshableVersion="3" recordCount="0" supportSubquery="1" supportAdvancedDrill="1" xr:uid="{3DC7337E-D133-48CA-8242-6E26103E876B}">
  <cacheSource type="external" connectionId="3"/>
  <cacheFields count="4">
    <cacheField name="[Calender Table].[Date (Day)].[Date (Day)]" caption="Date (Day)" numFmtId="0" hierarchy="2" level="1">
      <sharedItems count="12">
        <s v="4-Jan"/>
        <s v="5-Jan"/>
        <s v="6-Jan"/>
        <s v="7-Jan"/>
        <s v="8-Jan"/>
        <s v="9-Jan"/>
        <s v="10-Jan"/>
        <s v="11-Jan"/>
        <s v="12-Jan"/>
        <s v="1-Jan" u="1"/>
        <s v="2-Jan" u="1"/>
        <s v="3-Jan" u="1"/>
      </sharedItems>
    </cacheField>
    <cacheField name="[Calender 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er Table].[Date (Year)].[Date (Year)]" caption="Date (Year)" numFmtId="0" hierarchy="3" level="1">
      <sharedItems containsSemiMixedTypes="0" containsNonDate="0" containsString="0"/>
    </cacheField>
  </cacheFields>
  <cacheHierarchies count="35">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1"/>
      </fieldsUsage>
    </cacheHierarchy>
    <cacheHierarchy uniqueName="[Calender Table].[Date (Day)]" caption="Date (Day)" attribute="1" defaultMemberUniqueName="[Calender Table].[Date (Day)].[All]" allUniqueName="[Calender Table].[Date (Day)].[All]" dimensionUniqueName="[Calender Table]" displayFolder="" count="2" memberValueDatatype="130" unbalanced="0">
      <fieldsUsage count="2">
        <fieldUsage x="-1"/>
        <fieldUsage x="0"/>
      </fieldsUsage>
    </cacheHierarchy>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nd Mishra, Santosh" refreshedDate="45699.641489351852" createdVersion="5" refreshedVersion="8" minRefreshableVersion="3" recordCount="0" supportSubquery="1" supportAdvancedDrill="1" xr:uid="{6846BCCE-9F1E-4AAE-8DB1-B7980E93A422}">
  <cacheSource type="external" connectionId="3"/>
  <cacheFields count="4">
    <cacheField name="[Calender Table].[Date (Day)].[Date (Day)]" caption="Date (Day)" numFmtId="0" hierarchy="2" level="1">
      <sharedItems count="9">
        <s v="4-Jan"/>
        <s v="5-Jan"/>
        <s v="6-Jan"/>
        <s v="7-Jan"/>
        <s v="8-Jan"/>
        <s v="9-Jan"/>
        <s v="10-Jan"/>
        <s v="11-Jan"/>
        <s v="12-Jan"/>
      </sharedItems>
    </cacheField>
    <cacheField name="[Calender 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er Table].[Date (Year)].[Date (Year)]" caption="Date (Year)" numFmtId="0" hierarchy="3" level="1">
      <sharedItems containsSemiMixedTypes="0" containsNonDate="0" containsString="0"/>
    </cacheField>
  </cacheFields>
  <cacheHierarchies count="35">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1"/>
      </fieldsUsage>
    </cacheHierarchy>
    <cacheHierarchy uniqueName="[Calender Table].[Date (Day)]" caption="Date (Day)" attribute="1" defaultMemberUniqueName="[Calender Table].[Date (Day)].[All]" allUniqueName="[Calender Table].[Date (Day)].[All]" dimensionUniqueName="[Calender Table]" displayFolder="" count="2" memberValueDatatype="130" unbalanced="0">
      <fieldsUsage count="2">
        <fieldUsage x="-1"/>
        <fieldUsage x="0"/>
      </fieldsUsage>
    </cacheHierarchy>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nd Mishra, Santosh" refreshedDate="45699.641490046299" createdVersion="5" refreshedVersion="8" minRefreshableVersion="3" recordCount="0" supportSubquery="1" supportAdvancedDrill="1" xr:uid="{EBAB988F-CFED-4AA6-90E8-A619C212573B}">
  <cacheSource type="external" connectionId="3"/>
  <cacheFields count="4">
    <cacheField name="[Calender 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1" level="32767"/>
    <cacheField name="[Calender Table].[Date (Year)].[Date (Year)]" caption="Date (Year)" numFmtId="0" hierarchy="3" level="1">
      <sharedItems containsSemiMixedTypes="0" containsNonDate="0" containsString="0"/>
    </cacheField>
  </cacheFields>
  <cacheHierarchies count="35">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nd Mishra, Santosh" refreshedDate="45699.641490393522" createdVersion="5" refreshedVersion="8" minRefreshableVersion="3" recordCount="0" supportSubquery="1" supportAdvancedDrill="1" xr:uid="{55BFFD6A-DC45-43D1-B02D-4C83E8852236}">
  <cacheSource type="external" connectionId="3"/>
  <cacheFields count="4">
    <cacheField name="[Calender 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2" level="32767"/>
    <cacheField name="[Calender Table].[Date (Year)].[Date (Year)]" caption="Date (Year)" numFmtId="0" hierarchy="3" level="1">
      <sharedItems containsSemiMixedTypes="0" containsNonDate="0" containsString="0"/>
    </cacheField>
  </cacheFields>
  <cacheHierarchies count="35">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nd Mishra, Santosh" refreshedDate="45699.636903240738" createdVersion="3" refreshedVersion="8" minRefreshableVersion="3" recordCount="0" supportSubquery="1" supportAdvancedDrill="1" xr:uid="{6D7B8264-B087-4A43-BE06-84D8FDBA20F9}">
  <cacheSource type="external" connectionId="3">
    <extLst>
      <ext xmlns:x14="http://schemas.microsoft.com/office/spreadsheetml/2009/9/main" uri="{F057638F-6D5F-4e77-A914-E7F072B9BCA8}">
        <x14:sourceConnection name="ThisWorkbookDataModel"/>
      </ext>
    </extLst>
  </cacheSource>
  <cacheFields count="0"/>
  <cacheHierarchies count="35">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40893075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608F7B-9081-43A7-B533-08902EA49AAA}" name="PivotTable12" cacheId="786" applyNumberFormats="0" applyBorderFormats="0" applyFontFormats="0" applyPatternFormats="0" applyAlignmentFormats="0" applyWidthHeightFormats="1" dataCaption="Values" tag="24ff3cff-d189-4211-a6e9-b2e29add6425" updatedVersion="8" minRefreshableVersion="3" subtotalHiddenItems="1" itemPrintTitles="1" createdVersion="5" indent="0" outline="1" outlineData="1" multipleFieldFilters="0" chartFormat="24">
  <location ref="A77:A79" firstHeaderRow="1" firstDataRow="1" firstDataCol="1"/>
  <pivotFields count="4">
    <pivotField axis="axisRow" allDrilled="1" subtotalTop="0" showAll="0" dataSourceSort="1" defaultSubtotal="0">
      <items count="1">
        <item s="1"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53">
      <pivotArea outline="0" collapsedLevelsAreSubtotals="1" fieldPosition="0"/>
    </format>
  </formats>
  <pivotHierarchies count="3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53E174A-A787-4A79-816A-3C62D1EAB456}" name="PivotTable11" cacheId="795" applyNumberFormats="0" applyBorderFormats="0" applyFontFormats="0" applyPatternFormats="0" applyAlignmentFormats="0" applyWidthHeightFormats="1" dataCaption="Values" tag="24ff3cff-d189-4211-a6e9-b2e29add6425" updatedVersion="8" minRefreshableVersion="3" subtotalHiddenItems="1" itemPrintTitles="1" createdVersion="5" indent="0" outline="1" outlineData="1" multipleFieldFilters="0" chartFormat="24">
  <location ref="A61:B70"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9">
    <i>
      <x v="7"/>
    </i>
    <i>
      <x v="3"/>
    </i>
    <i>
      <x v="1"/>
    </i>
    <i>
      <x v="6"/>
    </i>
    <i>
      <x/>
    </i>
    <i>
      <x v="5"/>
    </i>
    <i>
      <x v="2"/>
    </i>
    <i>
      <x v="4"/>
    </i>
    <i t="grand">
      <x/>
    </i>
  </rowItems>
  <colItems count="1">
    <i/>
  </colItems>
  <dataFields count="1">
    <dataField name="Count of Department Referral" fld="1" subtotal="count" baseField="0" baseItem="0"/>
  </dataFields>
  <formats count="3">
    <format dxfId="149">
      <pivotArea outline="0" collapsedLevelsAreSubtotals="1" fieldPosition="0"/>
    </format>
    <format dxfId="148">
      <pivotArea collapsedLevelsAreSubtotals="1" fieldPosition="0">
        <references count="1">
          <reference field="2" count="7">
            <x v="0"/>
            <x v="1"/>
            <x v="2"/>
            <x v="3"/>
            <x v="4"/>
            <x v="5"/>
            <x v="6"/>
          </reference>
        </references>
      </pivotArea>
    </format>
    <format dxfId="147">
      <pivotArea collapsedLevelsAreSubtotals="1" fieldPosition="0">
        <references count="1">
          <reference field="2" count="1">
            <x v="7"/>
          </reference>
        </references>
      </pivotArea>
    </format>
  </formats>
  <chartFormats count="2">
    <chartFormat chart="18" format="1"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 Table].[Date (Month)].&amp;[Jan]"/>
      </members>
    </pivotHierarchy>
    <pivotHierarchy dragToData="1"/>
    <pivotHierarchy multipleItemSelectionAllowed="1" dragToData="1">
      <members count="1" level="1">
        <member name="[Calender 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C684C46-C70D-4624-85ED-13187589AD56}" name="PivotTable10" cacheId="792" applyNumberFormats="0" applyBorderFormats="0" applyFontFormats="0" applyPatternFormats="0" applyAlignmentFormats="0" applyWidthHeightFormats="1" dataCaption="Values" tag="24ff3cff-d189-4211-a6e9-b2e29add6425" updatedVersion="8" minRefreshableVersion="3" subtotalHiddenItems="1" itemPrintTitles="1" createdVersion="5" indent="0" outline="1" outlineData="1" multipleFieldFilters="0" chartFormat="17">
  <location ref="A54:B57"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Gender" fld="1" subtotal="count" baseField="0" baseItem="0"/>
  </dataFields>
  <formats count="2">
    <format dxfId="151">
      <pivotArea outline="0" collapsedLevelsAreSubtotals="1" fieldPosition="0"/>
    </format>
    <format dxfId="150">
      <pivotArea collapsedLevelsAreSubtotals="1" fieldPosition="0">
        <references count="1">
          <reference field="2" count="0"/>
        </references>
      </pivotArea>
    </format>
  </formats>
  <chartFormats count="3">
    <chartFormat chart="16" format="4" series="1">
      <pivotArea type="data" outline="0" fieldPosition="0">
        <references count="1">
          <reference field="4294967294" count="1" selected="0">
            <x v="0"/>
          </reference>
        </references>
      </pivotArea>
    </chartFormat>
    <chartFormat chart="16" format="5">
      <pivotArea type="data" outline="0" fieldPosition="0">
        <references count="2">
          <reference field="4294967294" count="1" selected="0">
            <x v="0"/>
          </reference>
          <reference field="2" count="1" selected="0">
            <x v="0"/>
          </reference>
        </references>
      </pivotArea>
    </chartFormat>
    <chartFormat chart="16" format="6">
      <pivotArea type="data" outline="0" fieldPosition="0">
        <references count="2">
          <reference field="4294967294" count="1" selected="0">
            <x v="0"/>
          </reference>
          <reference field="2" count="1" selected="0">
            <x v="1"/>
          </reference>
        </references>
      </pivotArea>
    </chartFormat>
  </chartFormats>
  <pivotHierarchies count="35">
    <pivotHierarchy dragToData="1"/>
    <pivotHierarchy multipleItemSelectionAllowed="1" dragToData="1">
      <members count="1" level="1">
        <member name="[Calender Table].[Date (Month)].&amp;[Jan]"/>
      </members>
    </pivotHierarchy>
    <pivotHierarchy dragToData="1"/>
    <pivotHierarchy multipleItemSelectionAllowed="1" dragToData="1">
      <members count="1" level="1">
        <member name="[Calender 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71FA118-E5AA-41A8-B557-CFE674C552EC}" name="PivotTable9" cacheId="819" applyNumberFormats="0" applyBorderFormats="0" applyFontFormats="0" applyPatternFormats="0" applyAlignmentFormats="0" applyWidthHeightFormats="1" dataCaption="Values" tag="24ff3cff-d189-4211-a6e9-b2e29add6425" updatedVersion="8" minRefreshableVersion="3" subtotalHiddenItems="1" itemPrintTitles="1" createdVersion="5" indent="0" outline="1" outlineData="1" multipleFieldFilters="0" chartFormat="13">
  <location ref="A47:B50"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2">
    <format dxfId="153">
      <pivotArea outline="0" collapsedLevelsAreSubtotals="1" fieldPosition="0"/>
    </format>
    <format dxfId="152">
      <pivotArea collapsedLevelsAreSubtotals="1" fieldPosition="0">
        <references count="1">
          <reference field="1" count="0"/>
        </references>
      </pivotArea>
    </format>
  </formats>
  <chartFormats count="3">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1" count="1" selected="0">
            <x v="0"/>
          </reference>
        </references>
      </pivotArea>
    </chartFormat>
    <chartFormat chart="11" format="6">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er Table].[Date (Month)].&amp;[Jan]"/>
      </members>
    </pivotHierarchy>
    <pivotHierarchy dragToData="1"/>
    <pivotHierarchy multipleItemSelectionAllowed="1" dragToData="1">
      <members count="1" level="1">
        <member name="[Calender 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2818D2B-8126-4734-B154-3E755DD72450}" name="PivotTable8" cacheId="816" applyNumberFormats="0" applyBorderFormats="0" applyFontFormats="0" applyPatternFormats="0" applyAlignmentFormats="0" applyWidthHeightFormats="1" dataCaption="Values" tag="24ff3cff-d189-4211-a6e9-b2e29add6425" updatedVersion="8" minRefreshableVersion="3" subtotalHiddenItems="1" itemPrintTitles="1" createdVersion="5" indent="0" outline="1" outlineData="1" multipleFieldFilters="0" chartFormat="5">
  <location ref="A35:B44"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2">
    <format dxfId="155">
      <pivotArea outline="0" collapsedLevelsAreSubtotals="1" fieldPosition="0"/>
    </format>
    <format dxfId="154">
      <pivotArea collapsedLevelsAreSubtotals="1" fieldPosition="0">
        <references count="1">
          <reference field="1" count="0"/>
        </references>
      </pivotArea>
    </format>
  </formats>
  <chartFormats count="1">
    <chartFormat chart="3"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 Table].[Date (Month)].&amp;[Jan]"/>
      </members>
    </pivotHierarchy>
    <pivotHierarchy dragToData="1"/>
    <pivotHierarchy multipleItemSelectionAllowed="1" dragToData="1">
      <members count="1" level="1">
        <member name="[Calender 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7546FC6-1DC8-4483-844B-C4586E8BCCC1}" name="PivotTable5" cacheId="807" applyNumberFormats="0" applyBorderFormats="0" applyFontFormats="0" applyPatternFormats="0" applyAlignmentFormats="0" applyWidthHeightFormats="1" dataCaption="Values" tag="24ff3cff-d189-4211-a6e9-b2e29add6425" updatedVersion="8" minRefreshableVersion="3" subtotalHiddenItems="1" itemPrintTitles="1" createdVersion="5" indent="0" outline="1" outlineData="1" multipleFieldFilters="0" chartFormat="1">
  <location ref="A25:C28"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3">
    <format dxfId="156">
      <pivotArea outline="0" collapsedLevelsAreSubtotals="1" fieldPosition="0"/>
    </format>
    <format dxfId="157">
      <pivotArea collapsedLevelsAreSubtotals="1" fieldPosition="0">
        <references count="1">
          <reference field="1" count="0"/>
        </references>
      </pivotArea>
    </format>
    <format dxfId="158">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ender Table].[Date (Month)].&amp;[Jan]"/>
      </members>
    </pivotHierarchy>
    <pivotHierarchy dragToData="1"/>
    <pivotHierarchy multipleItemSelectionAllowed="1" dragToData="1">
      <members count="1" level="1">
        <member name="[Calender 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B4C72D0-A734-4DE2-BC6E-A946B6624661}" name="PivotTable2" cacheId="798" applyNumberFormats="0" applyBorderFormats="0" applyFontFormats="0" applyPatternFormats="0" applyAlignmentFormats="0" applyWidthHeightFormats="1" dataCaption="Values" tag="00540107-97c0-4168-89d2-16d856155d48" updatedVersion="8" minRefreshableVersion="3" useAutoFormatting="1" subtotalHiddenItems="1"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5">
    <pivotHierarchy dragToData="1"/>
    <pivotHierarchy multipleItemSelectionAllowed="1" dragToData="1">
      <members count="1" level="1">
        <member name="[Calender Table].[Date (Month)].&amp;[Jan]"/>
      </members>
    </pivotHierarchy>
    <pivotHierarchy dragToData="1"/>
    <pivotHierarchy multipleItemSelectionAllowed="1" dragToData="1">
      <members count="1" level="1">
        <member name="[Calender 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8BC72F3-7176-4E7A-BA55-4B3639827400}" name="PivotTable7" cacheId="813" applyNumberFormats="0" applyBorderFormats="0" applyFontFormats="0" applyPatternFormats="0" applyAlignmentFormats="0" applyWidthHeightFormats="1" dataCaption="Values" tag="d16715bc-aaff-4ea0-b7ac-da3e3b8054b1" updatedVersion="8" minRefreshableVersion="3" useAutoFormatting="1" subtotalHiddenItems="1" itemPrintTitles="1" createdVersion="5" indent="0" outline="1" outlineData="1" multipleFieldFilters="0" chartFormat="25">
  <location ref="J8:K18" firstHeaderRow="1" firstDataRow="1" firstDataCol="1"/>
  <pivotFields count="4">
    <pivotField axis="axisRow" allDrilled="1" subtotalTop="0" showAll="0" dataSourceSort="1" defaultSubtotal="0" defaultAttributeDrillState="1">
      <items count="9">
        <item x="0"/>
        <item x="1"/>
        <item x="2"/>
        <item x="3"/>
        <item x="4"/>
        <item x="5"/>
        <item x="6"/>
        <item x="7"/>
        <item x="8"/>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Items count="1">
    <i/>
  </colItems>
  <dataFields count="1">
    <dataField name="Average of Patient Satisfaction Score" fld="2" subtotal="average" baseField="0" baseItem="0"/>
  </dataFields>
  <formats count="1">
    <format dxfId="159">
      <pivotArea collapsedLevelsAreSubtotals="1" fieldPosition="0">
        <references count="1">
          <reference field="0" count="0"/>
        </references>
      </pivotArea>
    </format>
  </formats>
  <chartFormats count="2">
    <chartFormat chart="21" format="2"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 Table].[Date (Month)].&amp;[Jan]"/>
      </members>
    </pivotHierarchy>
    <pivotHierarchy dragToData="1"/>
    <pivotHierarchy multipleItemSelectionAllowed="1" dragToData="1">
      <members count="1" level="1">
        <member name="[Calender 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F9C4F2D-1062-4A87-A8B7-A1D6749C252B}" name="PivotTable1" cacheId="789" applyNumberFormats="0" applyBorderFormats="0" applyFontFormats="0" applyPatternFormats="0" applyAlignmentFormats="0" applyWidthHeightFormats="1" dataCaption="Values" tag="73632749-7123-4ac8-a254-3e82595c719b" updatedVersion="8" minRefreshableVersion="3" useAutoFormatting="1" subtotalHiddenItems="1" itemPrintTitles="1" createdVersion="5" indent="0" outline="1" outlineData="1" multipleFieldFilters="0">
  <location ref="A12:A1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62">
      <pivotArea outline="0" collapsedLevelsAreSubtotals="1" fieldPosition="0"/>
    </format>
  </formats>
  <pivotHierarchies count="35">
    <pivotHierarchy dragToData="1"/>
    <pivotHierarchy multipleItemSelectionAllowed="1" dragToData="1">
      <members count="1" level="1">
        <member name="[Calender Table].[Date (Month)].&amp;[Jan]"/>
      </members>
    </pivotHierarchy>
    <pivotHierarchy dragToData="1"/>
    <pivotHierarchy multipleItemSelectionAllowed="1" dragToData="1">
      <members count="1" level="1">
        <member name="[Calender 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1698C76-2EF4-4362-88B8-CB3EBD6EAA14}" name="PivotTable6" cacheId="810" applyNumberFormats="0" applyBorderFormats="0" applyFontFormats="0" applyPatternFormats="0" applyAlignmentFormats="0" applyWidthHeightFormats="1" dataCaption="Values" tag="dd978f50-a8c9-4e5d-abea-94323a26e74d" updatedVersion="8" minRefreshableVersion="3" useAutoFormatting="1" subtotalHiddenItems="1" itemPrintTitles="1" createdVersion="5" indent="0" outline="1" outlineData="1" multipleFieldFilters="0" chartFormat="19">
  <location ref="G8:H18" firstHeaderRow="1"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Items count="1">
    <i/>
  </colItems>
  <dataFields count="1">
    <dataField name="Average of Patient Waittime" fld="2" subtotal="average" baseField="0" baseItem="0"/>
  </dataFields>
  <formats count="1">
    <format dxfId="160">
      <pivotArea collapsedLevelsAreSubtotals="1" fieldPosition="0">
        <references count="1">
          <reference field="0" count="11">
            <x v="0"/>
            <x v="1"/>
            <x v="2"/>
            <x v="3"/>
            <x v="4"/>
            <x v="5"/>
            <x v="6"/>
            <x v="7"/>
            <x v="9"/>
            <x v="10"/>
            <x v="11"/>
          </reference>
        </references>
      </pivotArea>
    </format>
  </formats>
  <chartFormats count="4">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 Table].[Date (Month)].&amp;[Jan]"/>
      </members>
    </pivotHierarchy>
    <pivotHierarchy dragToData="1"/>
    <pivotHierarchy multipleItemSelectionAllowed="1" dragToData="1">
      <members count="1" level="1">
        <member name="[Calender 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2DF7376-7C2E-4DB5-9246-F6F524222C5E}" name="PivotTable4" cacheId="804" applyNumberFormats="0" applyBorderFormats="0" applyFontFormats="0" applyPatternFormats="0" applyAlignmentFormats="0" applyWidthHeightFormats="1" dataCaption="Values" tag="67c0d96f-5c97-4438-b933-d674e3e196af" updatedVersion="8" minRefreshableVersion="3" useAutoFormatting="1" subtotalHiddenItems="1" itemPrintTitles="1" createdVersion="5" indent="0" outline="1" outlineData="1" multipleFieldFilters="0" chartFormat="10">
  <location ref="C8:D18" firstHeaderRow="1" firstDataRow="1" firstDataCol="1"/>
  <pivotFields count="4">
    <pivotField dataField="1" subtotalTop="0" showAll="0" defaultSubtotal="0"/>
    <pivotField axis="axisRow" allDrilled="1" subtotalTop="0" showAll="0" dataSourceSort="1" defaultSubtotal="0" defaultAttributeDrillState="1">
      <items count="9">
        <item x="0"/>
        <item x="1"/>
        <item x="2"/>
        <item x="3"/>
        <item x="4"/>
        <item x="5"/>
        <item x="6"/>
        <item x="7"/>
        <item x="8"/>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10">
    <i>
      <x/>
    </i>
    <i>
      <x v="1"/>
    </i>
    <i>
      <x v="2"/>
    </i>
    <i>
      <x v="3"/>
    </i>
    <i>
      <x v="4"/>
    </i>
    <i>
      <x v="5"/>
    </i>
    <i>
      <x v="6"/>
    </i>
    <i>
      <x v="7"/>
    </i>
    <i>
      <x v="8"/>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3">
    <chartFormat chart="3" format="3"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 Table].[Date (Month)].&amp;[Jan]"/>
      </members>
    </pivotHierarchy>
    <pivotHierarchy dragToData="1"/>
    <pivotHierarchy multipleItemSelectionAllowed="1" dragToData="1">
      <members count="1" level="1">
        <member name="[Calender 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7F5A266-ADE9-4A82-BB22-7E3A144A1094}" name="PivotTable3" cacheId="801" applyNumberFormats="0" applyBorderFormats="0" applyFontFormats="0" applyPatternFormats="0" applyAlignmentFormats="0" applyWidthHeightFormats="1" dataCaption="Values" tag="24ff3cff-d189-4211-a6e9-b2e29add6425" updatedVersion="8" minRefreshableVersion="3" useAutoFormatting="1" subtotalHiddenItems="1" itemPrintTitles="1" createdVersion="5" indent="0" outline="1" outlineData="1" multipleFieldFilters="0">
  <location ref="A16:A17"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161">
      <pivotArea outline="0" collapsedLevelsAreSubtotals="1" fieldPosition="0"/>
    </format>
  </formats>
  <pivotHierarchies count="35">
    <pivotHierarchy dragToData="1"/>
    <pivotHierarchy multipleItemSelectionAllowed="1" dragToData="1">
      <members count="1" level="1">
        <member name="[Calender Table].[Date (Month)].&amp;[Jan]"/>
      </members>
    </pivotHierarchy>
    <pivotHierarchy dragToData="1"/>
    <pivotHierarchy multipleItemSelectionAllowed="1" dragToData="1">
      <members count="1" level="1">
        <member name="[Calender 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16DC80BC-CC24-4462-9C3E-30606A8E8675}" sourceName="[Calender Table].[Date (Month)]">
  <pivotTables>
    <pivotTable tabId="1" name="PivotTable4"/>
    <pivotTable tabId="1" name="PivotTable1"/>
    <pivotTable tabId="1" name="PivotTable2"/>
    <pivotTable tabId="1" name="PivotTable3"/>
    <pivotTable tabId="1" name="PivotTable6"/>
    <pivotTable tabId="1" name="PivotTable7"/>
    <pivotTable tabId="1" name="PivotTable5"/>
    <pivotTable tabId="1" name="PivotTable8"/>
    <pivotTable tabId="1" name="PivotTable9"/>
    <pivotTable tabId="1" name="PivotTable10"/>
    <pivotTable tabId="1" name="PivotTable11"/>
    <pivotTable tabId="1" name="PivotTable12"/>
  </pivotTables>
  <data>
    <olap pivotCacheId="408930752">
      <levels count="2">
        <level uniqueName="[Calender Table].[Date (Month)].[(All)]" sourceCaption="(All)" count="0"/>
        <level uniqueName="[Calender Table].[Date (Month)].[Date (Month)]" sourceCaption="Date (Month)" count="12">
          <ranges>
            <range startItem="0">
              <i n="[Calender Table].[Date (Month)].&amp;[Jan]" c="Jan"/>
              <i n="[Calender Table].[Date (Month)].&amp;[Feb]" c="Feb"/>
              <i n="[Calender Table].[Date (Month)].&amp;[Mar]" c="Mar"/>
              <i n="[Calender Table].[Date (Month)].&amp;[Apr]" c="Apr"/>
              <i n="[Calender Table].[Date (Month)].&amp;[May]" c="May"/>
              <i n="[Calender Table].[Date (Month)].&amp;[Jun]" c="Jun"/>
              <i n="[Calender Table].[Date (Month)].&amp;[Jul]" c="Jul"/>
              <i n="[Calender Table].[Date (Month)].&amp;[Aug]" c="Aug"/>
              <i n="[Calender Table].[Date (Month)].&amp;[Sep]" c="Sep"/>
              <i n="[Calender Table].[Date (Month)].&amp;[Oct]" c="Oct"/>
              <i n="[Calender Table].[Date (Month)].&amp;[Nov]" c="Nov"/>
              <i n="[Calender Table].[Date (Month)].&amp;[Dec]" c="Dec"/>
            </range>
          </ranges>
        </level>
      </levels>
      <selections count="1">
        <selection n="[Calender Table].[Date (Month)].&amp;[Ja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172C7A1D-A999-4EA4-87F5-F4763FC71AF2}" sourceName="[Calender 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408930752">
      <levels count="2">
        <level uniqueName="[Calender Table].[Date (Year)].[(All)]" sourceCaption="(All)" count="0"/>
        <level uniqueName="[Calender Table].[Date (Year)].[Date (Year)]" sourceCaption="Date (Year)" count="2">
          <ranges>
            <range startItem="0">
              <i n="[Calender Table].[Date (Year)].&amp;[2023]" c="2023"/>
              <i n="[Calender Table].[Date (Year)].&amp;[2024]" c="2024"/>
            </range>
          </ranges>
        </level>
      </levels>
      <selections count="1">
        <selection n="[Calender 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Year)" xr10:uid="{488F7EDE-5DDE-4CCB-9AF1-8C45EC5FF0CF}" cache="Slicer_Date__Year" caption="Date (Year)" level="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70F37535-5210-41D1-93F0-2B0D6D9DB0E5}" cache="Slicer_Date__Month" caption="Date (Month)" showCaption="0" level="1" style="My Style" rowHeight="164592"/>
  <slicer name="Date (Year) 1" xr10:uid="{C7EA0625-62A3-4A44-8D96-140128103821}" cache="Slicer_Date__Year" caption="Date (Year)" columnCount="2" showCaption="0" level="1" style="My Style"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DFB43-6F38-4100-B453-F914671C6923}">
  <dimension ref="A6:K79"/>
  <sheetViews>
    <sheetView topLeftCell="A69" workbookViewId="0">
      <selection activeCell="D66" sqref="D66"/>
    </sheetView>
  </sheetViews>
  <sheetFormatPr defaultRowHeight="14.5" x14ac:dyDescent="0.35"/>
  <cols>
    <col min="1" max="1" width="31.7265625" bestFit="1" customWidth="1"/>
    <col min="2" max="2" width="24.81640625" customWidth="1"/>
    <col min="3" max="3" width="12.453125" bestFit="1" customWidth="1"/>
    <col min="4" max="4" width="23.54296875" bestFit="1" customWidth="1"/>
    <col min="7" max="7" width="12.453125" bestFit="1" customWidth="1"/>
    <col min="8" max="8" width="24" bestFit="1" customWidth="1"/>
    <col min="10" max="10" width="12.453125" bestFit="1" customWidth="1"/>
    <col min="11" max="11" width="31.7265625" bestFit="1" customWidth="1"/>
  </cols>
  <sheetData>
    <row r="6" spans="1:11" x14ac:dyDescent="0.35">
      <c r="A6" t="s">
        <v>1</v>
      </c>
    </row>
    <row r="7" spans="1:11" x14ac:dyDescent="0.35">
      <c r="C7" t="s">
        <v>16</v>
      </c>
      <c r="G7" t="s">
        <v>17</v>
      </c>
    </row>
    <row r="8" spans="1:11" x14ac:dyDescent="0.35">
      <c r="A8" t="s">
        <v>0</v>
      </c>
      <c r="C8" s="1" t="s">
        <v>5</v>
      </c>
      <c r="D8" t="s">
        <v>0</v>
      </c>
      <c r="G8" s="1" t="s">
        <v>5</v>
      </c>
      <c r="H8" t="s">
        <v>2</v>
      </c>
      <c r="J8" s="1" t="s">
        <v>5</v>
      </c>
      <c r="K8" t="s">
        <v>3</v>
      </c>
    </row>
    <row r="9" spans="1:11" x14ac:dyDescent="0.35">
      <c r="A9" s="8">
        <v>154</v>
      </c>
      <c r="C9" s="4" t="s">
        <v>7</v>
      </c>
      <c r="D9" s="8">
        <v>19</v>
      </c>
      <c r="G9" s="4" t="s">
        <v>7</v>
      </c>
      <c r="H9" s="2">
        <v>40.473684210526315</v>
      </c>
      <c r="J9" s="4" t="s">
        <v>7</v>
      </c>
      <c r="K9" s="2">
        <v>3.8</v>
      </c>
    </row>
    <row r="10" spans="1:11" x14ac:dyDescent="0.35">
      <c r="C10" s="4" t="s">
        <v>8</v>
      </c>
      <c r="D10" s="8">
        <v>20</v>
      </c>
      <c r="G10" s="4" t="s">
        <v>8</v>
      </c>
      <c r="H10" s="2">
        <v>31.5</v>
      </c>
      <c r="J10" s="4" t="s">
        <v>8</v>
      </c>
      <c r="K10" s="2">
        <v>5.5</v>
      </c>
    </row>
    <row r="11" spans="1:11" x14ac:dyDescent="0.35">
      <c r="C11" s="4" t="s">
        <v>9</v>
      </c>
      <c r="D11" s="8">
        <v>26</v>
      </c>
      <c r="G11" s="4" t="s">
        <v>9</v>
      </c>
      <c r="H11" s="2">
        <v>34.884615384615387</v>
      </c>
      <c r="J11" s="4" t="s">
        <v>9</v>
      </c>
      <c r="K11" s="2">
        <v>4.8</v>
      </c>
    </row>
    <row r="12" spans="1:11" x14ac:dyDescent="0.35">
      <c r="A12" t="s">
        <v>2</v>
      </c>
      <c r="C12" s="4" t="s">
        <v>10</v>
      </c>
      <c r="D12" s="8">
        <v>15</v>
      </c>
      <c r="G12" s="4" t="s">
        <v>10</v>
      </c>
      <c r="H12" s="2">
        <v>38.200000000000003</v>
      </c>
      <c r="J12" s="4" t="s">
        <v>10</v>
      </c>
      <c r="K12" s="2">
        <v>2</v>
      </c>
    </row>
    <row r="13" spans="1:11" x14ac:dyDescent="0.35">
      <c r="A13" s="2">
        <v>35.272727272727273</v>
      </c>
      <c r="C13" s="4" t="s">
        <v>11</v>
      </c>
      <c r="D13" s="8">
        <v>14</v>
      </c>
      <c r="G13" s="4" t="s">
        <v>11</v>
      </c>
      <c r="H13" s="2">
        <v>35.714285714285715</v>
      </c>
      <c r="J13" s="4" t="s">
        <v>11</v>
      </c>
      <c r="K13" s="2">
        <v>8</v>
      </c>
    </row>
    <row r="14" spans="1:11" x14ac:dyDescent="0.35">
      <c r="C14" s="4" t="s">
        <v>12</v>
      </c>
      <c r="D14" s="8">
        <v>12</v>
      </c>
      <c r="G14" s="4" t="s">
        <v>12</v>
      </c>
      <c r="H14" s="2">
        <v>29.833333333333332</v>
      </c>
      <c r="J14" s="4" t="s">
        <v>12</v>
      </c>
      <c r="K14" s="2">
        <v>3.5</v>
      </c>
    </row>
    <row r="15" spans="1:11" x14ac:dyDescent="0.35">
      <c r="C15" s="4" t="s">
        <v>13</v>
      </c>
      <c r="D15" s="8">
        <v>15</v>
      </c>
      <c r="G15" s="4" t="s">
        <v>13</v>
      </c>
      <c r="H15" s="2">
        <v>36.4</v>
      </c>
      <c r="J15" s="4" t="s">
        <v>13</v>
      </c>
      <c r="K15" s="2">
        <v>4.8</v>
      </c>
    </row>
    <row r="16" spans="1:11" x14ac:dyDescent="0.35">
      <c r="A16" t="s">
        <v>3</v>
      </c>
      <c r="C16" s="4" t="s">
        <v>14</v>
      </c>
      <c r="D16" s="8">
        <v>17</v>
      </c>
      <c r="G16" s="4" t="s">
        <v>14</v>
      </c>
      <c r="H16" s="2">
        <v>35.117647058823529</v>
      </c>
      <c r="J16" s="4" t="s">
        <v>14</v>
      </c>
      <c r="K16" s="2">
        <v>4.666666666666667</v>
      </c>
    </row>
    <row r="17" spans="1:11" x14ac:dyDescent="0.35">
      <c r="A17" s="2">
        <v>4.8</v>
      </c>
      <c r="C17" s="4" t="s">
        <v>15</v>
      </c>
      <c r="D17" s="8">
        <v>16</v>
      </c>
      <c r="G17" s="4" t="s">
        <v>15</v>
      </c>
      <c r="H17" s="8">
        <v>34.5</v>
      </c>
      <c r="J17" s="4" t="s">
        <v>15</v>
      </c>
      <c r="K17" s="2">
        <v>9</v>
      </c>
    </row>
    <row r="18" spans="1:11" x14ac:dyDescent="0.35">
      <c r="C18" s="4" t="s">
        <v>6</v>
      </c>
      <c r="D18" s="8">
        <v>154</v>
      </c>
      <c r="G18" s="4" t="s">
        <v>6</v>
      </c>
      <c r="H18" s="8">
        <v>35.272727272727273</v>
      </c>
      <c r="J18" s="4" t="s">
        <v>6</v>
      </c>
      <c r="K18" s="8">
        <v>4.8</v>
      </c>
    </row>
    <row r="25" spans="1:11" x14ac:dyDescent="0.35">
      <c r="A25" s="1" t="s">
        <v>5</v>
      </c>
      <c r="B25" t="s">
        <v>22</v>
      </c>
      <c r="C25" t="s">
        <v>23</v>
      </c>
    </row>
    <row r="26" spans="1:11" x14ac:dyDescent="0.35">
      <c r="A26" s="4" t="s">
        <v>20</v>
      </c>
      <c r="B26" s="9">
        <v>82</v>
      </c>
      <c r="C26" s="10">
        <v>0.53246753246753242</v>
      </c>
    </row>
    <row r="27" spans="1:11" x14ac:dyDescent="0.35">
      <c r="A27" s="4" t="s">
        <v>21</v>
      </c>
      <c r="B27" s="9">
        <v>72</v>
      </c>
      <c r="C27" s="10">
        <v>0.46753246753246752</v>
      </c>
    </row>
    <row r="28" spans="1:11" x14ac:dyDescent="0.35">
      <c r="A28" s="4" t="s">
        <v>6</v>
      </c>
      <c r="B28" s="2">
        <v>154</v>
      </c>
      <c r="C28" s="10">
        <v>1</v>
      </c>
    </row>
    <row r="31" spans="1:11" x14ac:dyDescent="0.35">
      <c r="A31" s="13" t="s">
        <v>24</v>
      </c>
      <c r="B31" s="13" t="s">
        <v>26</v>
      </c>
      <c r="C31" s="13" t="s">
        <v>25</v>
      </c>
      <c r="D31" s="12"/>
    </row>
    <row r="32" spans="1:11" x14ac:dyDescent="0.35">
      <c r="A32" s="14" t="str">
        <f>A27</f>
        <v>Not Admitted</v>
      </c>
      <c r="B32" s="14">
        <f>B27</f>
        <v>72</v>
      </c>
      <c r="C32" s="15">
        <f>C27</f>
        <v>0.46753246753246752</v>
      </c>
      <c r="D32" s="11"/>
    </row>
    <row r="33" spans="1:4" x14ac:dyDescent="0.35">
      <c r="A33" s="14" t="str">
        <f>A26</f>
        <v>Admitted</v>
      </c>
      <c r="B33" s="14">
        <f>B26</f>
        <v>82</v>
      </c>
      <c r="C33" s="15">
        <f>C26</f>
        <v>0.53246753246753242</v>
      </c>
      <c r="D33" s="11"/>
    </row>
    <row r="34" spans="1:4" x14ac:dyDescent="0.35">
      <c r="A34" t="s">
        <v>47</v>
      </c>
    </row>
    <row r="35" spans="1:4" x14ac:dyDescent="0.35">
      <c r="A35" s="1" t="s">
        <v>5</v>
      </c>
      <c r="B35" t="s">
        <v>35</v>
      </c>
    </row>
    <row r="36" spans="1:4" x14ac:dyDescent="0.35">
      <c r="A36" s="4" t="s">
        <v>27</v>
      </c>
      <c r="B36" s="9">
        <v>17</v>
      </c>
    </row>
    <row r="37" spans="1:4" x14ac:dyDescent="0.35">
      <c r="A37" s="4" t="s">
        <v>28</v>
      </c>
      <c r="B37" s="9">
        <v>15</v>
      </c>
    </row>
    <row r="38" spans="1:4" x14ac:dyDescent="0.35">
      <c r="A38" s="4" t="s">
        <v>29</v>
      </c>
      <c r="B38" s="9">
        <v>24</v>
      </c>
    </row>
    <row r="39" spans="1:4" x14ac:dyDescent="0.35">
      <c r="A39" s="4" t="s">
        <v>30</v>
      </c>
      <c r="B39" s="9">
        <v>23</v>
      </c>
    </row>
    <row r="40" spans="1:4" x14ac:dyDescent="0.35">
      <c r="A40" s="4" t="s">
        <v>31</v>
      </c>
      <c r="B40" s="9">
        <v>14</v>
      </c>
    </row>
    <row r="41" spans="1:4" x14ac:dyDescent="0.35">
      <c r="A41" s="4" t="s">
        <v>32</v>
      </c>
      <c r="B41" s="9">
        <v>22</v>
      </c>
    </row>
    <row r="42" spans="1:4" x14ac:dyDescent="0.35">
      <c r="A42" s="4" t="s">
        <v>33</v>
      </c>
      <c r="B42" s="9">
        <v>20</v>
      </c>
    </row>
    <row r="43" spans="1:4" x14ac:dyDescent="0.35">
      <c r="A43" s="4" t="s">
        <v>34</v>
      </c>
      <c r="B43" s="9">
        <v>19</v>
      </c>
    </row>
    <row r="44" spans="1:4" x14ac:dyDescent="0.35">
      <c r="A44" s="4" t="s">
        <v>6</v>
      </c>
      <c r="B44" s="2">
        <v>154</v>
      </c>
    </row>
    <row r="47" spans="1:4" x14ac:dyDescent="0.35">
      <c r="A47" s="1" t="s">
        <v>5</v>
      </c>
      <c r="B47" t="s">
        <v>48</v>
      </c>
    </row>
    <row r="48" spans="1:4" x14ac:dyDescent="0.35">
      <c r="A48" s="4" t="s">
        <v>38</v>
      </c>
      <c r="B48" s="9">
        <v>94</v>
      </c>
    </row>
    <row r="49" spans="1:2" x14ac:dyDescent="0.35">
      <c r="A49" s="4" t="s">
        <v>40</v>
      </c>
      <c r="B49" s="9">
        <v>60</v>
      </c>
    </row>
    <row r="50" spans="1:2" x14ac:dyDescent="0.35">
      <c r="A50" s="4" t="s">
        <v>6</v>
      </c>
      <c r="B50" s="2">
        <v>154</v>
      </c>
    </row>
    <row r="53" spans="1:2" x14ac:dyDescent="0.35">
      <c r="A53" s="4" t="s">
        <v>50</v>
      </c>
    </row>
    <row r="54" spans="1:2" x14ac:dyDescent="0.35">
      <c r="A54" s="1" t="s">
        <v>5</v>
      </c>
      <c r="B54" t="s">
        <v>49</v>
      </c>
    </row>
    <row r="55" spans="1:2" x14ac:dyDescent="0.35">
      <c r="A55" s="4" t="s">
        <v>36</v>
      </c>
      <c r="B55" s="9">
        <v>75</v>
      </c>
    </row>
    <row r="56" spans="1:2" x14ac:dyDescent="0.35">
      <c r="A56" s="4" t="s">
        <v>39</v>
      </c>
      <c r="B56" s="9">
        <v>79</v>
      </c>
    </row>
    <row r="57" spans="1:2" x14ac:dyDescent="0.35">
      <c r="A57" s="4" t="s">
        <v>6</v>
      </c>
      <c r="B57" s="2">
        <v>154</v>
      </c>
    </row>
    <row r="60" spans="1:2" x14ac:dyDescent="0.35">
      <c r="A60" s="4" t="s">
        <v>53</v>
      </c>
    </row>
    <row r="61" spans="1:2" x14ac:dyDescent="0.35">
      <c r="A61" s="1" t="s">
        <v>5</v>
      </c>
      <c r="B61" t="s">
        <v>51</v>
      </c>
    </row>
    <row r="62" spans="1:2" x14ac:dyDescent="0.35">
      <c r="A62" s="4" t="s">
        <v>52</v>
      </c>
      <c r="B62" s="9">
        <v>1</v>
      </c>
    </row>
    <row r="63" spans="1:2" x14ac:dyDescent="0.35">
      <c r="A63" s="4" t="s">
        <v>46</v>
      </c>
      <c r="B63" s="9">
        <v>3</v>
      </c>
    </row>
    <row r="64" spans="1:2" x14ac:dyDescent="0.35">
      <c r="A64" s="4" t="s">
        <v>45</v>
      </c>
      <c r="B64" s="9">
        <v>4</v>
      </c>
    </row>
    <row r="65" spans="1:2" x14ac:dyDescent="0.35">
      <c r="A65" s="4" t="s">
        <v>43</v>
      </c>
      <c r="B65" s="9">
        <v>4</v>
      </c>
    </row>
    <row r="66" spans="1:2" x14ac:dyDescent="0.35">
      <c r="A66" s="4" t="s">
        <v>44</v>
      </c>
      <c r="B66" s="9">
        <v>7</v>
      </c>
    </row>
    <row r="67" spans="1:2" x14ac:dyDescent="0.35">
      <c r="A67" s="4" t="s">
        <v>42</v>
      </c>
      <c r="B67" s="9">
        <v>11</v>
      </c>
    </row>
    <row r="68" spans="1:2" x14ac:dyDescent="0.35">
      <c r="A68" s="4" t="s">
        <v>41</v>
      </c>
      <c r="B68" s="9">
        <v>31</v>
      </c>
    </row>
    <row r="69" spans="1:2" x14ac:dyDescent="0.35">
      <c r="A69" s="4" t="s">
        <v>37</v>
      </c>
      <c r="B69" s="9">
        <v>93</v>
      </c>
    </row>
    <row r="70" spans="1:2" x14ac:dyDescent="0.35">
      <c r="A70" s="4" t="s">
        <v>6</v>
      </c>
      <c r="B70" s="2">
        <v>154</v>
      </c>
    </row>
    <row r="77" spans="1:2" x14ac:dyDescent="0.35">
      <c r="A77" s="1" t="s">
        <v>5</v>
      </c>
    </row>
    <row r="78" spans="1:2" x14ac:dyDescent="0.35">
      <c r="A78" s="4" t="s">
        <v>54</v>
      </c>
    </row>
    <row r="79" spans="1:2" x14ac:dyDescent="0.35">
      <c r="A79" s="4" t="s">
        <v>6</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47392-0F26-492D-961C-EAB9A4E7A73F}">
  <dimension ref="A1:S24"/>
  <sheetViews>
    <sheetView tabSelected="1" zoomScale="91" zoomScaleNormal="100" workbookViewId="0">
      <selection activeCell="S18" sqref="S18"/>
    </sheetView>
  </sheetViews>
  <sheetFormatPr defaultRowHeight="14.5" x14ac:dyDescent="0.35"/>
  <cols>
    <col min="9" max="9" width="8.08984375" customWidth="1"/>
  </cols>
  <sheetData>
    <row r="1" spans="1:16" x14ac:dyDescent="0.35">
      <c r="A1" s="3"/>
      <c r="B1" s="3"/>
      <c r="C1" s="3"/>
      <c r="D1" s="3"/>
      <c r="E1" s="3"/>
      <c r="F1" s="3"/>
      <c r="G1" s="3"/>
      <c r="H1" s="3"/>
      <c r="I1" s="3"/>
      <c r="J1" s="3"/>
      <c r="K1" s="3"/>
      <c r="L1" s="3"/>
      <c r="M1" s="3"/>
      <c r="N1" s="3"/>
      <c r="O1" s="3"/>
      <c r="P1" s="3"/>
    </row>
    <row r="2" spans="1:16" x14ac:dyDescent="0.35">
      <c r="A2" s="3"/>
      <c r="B2" s="3"/>
      <c r="C2" s="3"/>
      <c r="D2" s="3"/>
      <c r="E2" s="3"/>
      <c r="F2" s="3"/>
      <c r="G2" s="3"/>
      <c r="H2" s="3"/>
      <c r="I2" s="3"/>
      <c r="J2" s="3"/>
      <c r="K2" s="3"/>
      <c r="L2" s="3"/>
      <c r="M2" s="3"/>
      <c r="N2" s="3"/>
      <c r="O2" s="3"/>
      <c r="P2" s="3"/>
    </row>
    <row r="3" spans="1:16" x14ac:dyDescent="0.35">
      <c r="A3" s="3"/>
      <c r="B3" s="3"/>
      <c r="C3" s="3"/>
      <c r="D3" s="3"/>
      <c r="E3" s="3"/>
      <c r="F3" s="3"/>
      <c r="G3" s="3"/>
      <c r="H3" s="3"/>
      <c r="I3" s="3"/>
      <c r="J3" s="3"/>
      <c r="K3" s="3"/>
      <c r="L3" s="3"/>
      <c r="M3" s="3"/>
      <c r="N3" s="3"/>
      <c r="O3" s="3"/>
      <c r="P3" s="3"/>
    </row>
    <row r="4" spans="1:16" x14ac:dyDescent="0.35">
      <c r="A4" s="3"/>
      <c r="B4" s="3"/>
      <c r="C4" s="3"/>
      <c r="D4" s="3"/>
      <c r="E4" s="3"/>
      <c r="F4" s="3"/>
      <c r="G4" s="3"/>
      <c r="H4" s="3"/>
      <c r="I4" s="3"/>
      <c r="J4" s="3"/>
      <c r="K4" s="3"/>
      <c r="L4" s="3"/>
      <c r="M4" s="3"/>
      <c r="N4" s="3"/>
      <c r="O4" s="3"/>
      <c r="P4" s="3"/>
    </row>
    <row r="5" spans="1:16" x14ac:dyDescent="0.35">
      <c r="A5" s="3"/>
      <c r="B5" s="3"/>
      <c r="C5" s="3"/>
      <c r="D5" s="3"/>
      <c r="E5" s="3"/>
      <c r="F5" s="3"/>
      <c r="G5" s="3"/>
      <c r="H5" s="3"/>
      <c r="I5" s="3"/>
      <c r="J5" s="3"/>
      <c r="K5" s="3"/>
      <c r="L5" s="3"/>
      <c r="M5" s="3"/>
      <c r="N5" s="3"/>
      <c r="O5" s="3"/>
      <c r="P5" s="3"/>
    </row>
    <row r="6" spans="1:16" x14ac:dyDescent="0.35">
      <c r="A6" s="3"/>
      <c r="B6" s="3"/>
      <c r="C6" s="3"/>
      <c r="D6" s="3"/>
      <c r="E6" s="3"/>
      <c r="F6" s="3"/>
      <c r="G6" s="3"/>
      <c r="H6" s="3"/>
      <c r="I6" s="3"/>
      <c r="J6" s="3"/>
      <c r="K6" s="3"/>
      <c r="L6" s="3"/>
      <c r="M6" s="3"/>
      <c r="N6" s="3"/>
      <c r="O6" s="3"/>
      <c r="P6" s="3"/>
    </row>
    <row r="7" spans="1:16" x14ac:dyDescent="0.35">
      <c r="A7" s="3"/>
      <c r="B7" s="3"/>
      <c r="C7" s="3"/>
      <c r="D7" s="3"/>
      <c r="E7" s="3"/>
      <c r="F7" s="3"/>
      <c r="G7" s="3"/>
      <c r="H7" s="3"/>
      <c r="I7" s="3"/>
      <c r="J7" s="3"/>
      <c r="K7" s="3"/>
      <c r="L7" s="3"/>
      <c r="M7" s="3"/>
      <c r="N7" s="3"/>
      <c r="O7" s="3"/>
      <c r="P7" s="3"/>
    </row>
    <row r="8" spans="1:16" x14ac:dyDescent="0.35">
      <c r="A8" s="3"/>
      <c r="B8" s="3"/>
      <c r="C8" s="3"/>
      <c r="D8" s="3"/>
      <c r="E8" s="3"/>
      <c r="F8" s="3"/>
      <c r="G8" s="3"/>
      <c r="H8" s="3"/>
      <c r="I8" s="3"/>
      <c r="J8" s="3"/>
      <c r="K8" s="3"/>
      <c r="L8" s="3"/>
      <c r="M8" s="3"/>
      <c r="N8" s="3"/>
      <c r="O8" s="3"/>
      <c r="P8" s="3"/>
    </row>
    <row r="9" spans="1:16" x14ac:dyDescent="0.35">
      <c r="A9" s="3"/>
      <c r="B9" s="3"/>
      <c r="C9" s="3"/>
      <c r="D9" s="3"/>
      <c r="E9" s="3"/>
      <c r="F9" s="3"/>
      <c r="G9" s="3"/>
      <c r="H9" s="3"/>
      <c r="I9" s="3"/>
      <c r="J9" s="3"/>
      <c r="K9" s="3"/>
      <c r="L9" s="3"/>
      <c r="M9" s="3"/>
      <c r="N9" s="3"/>
      <c r="O9" s="3"/>
      <c r="P9" s="3"/>
    </row>
    <row r="10" spans="1:16" x14ac:dyDescent="0.35">
      <c r="A10" s="3"/>
      <c r="B10" s="3"/>
      <c r="C10" s="3"/>
      <c r="D10" s="3"/>
      <c r="E10" s="3"/>
      <c r="F10" s="3"/>
      <c r="G10" s="3"/>
      <c r="H10" s="3"/>
      <c r="I10" s="3"/>
      <c r="J10" s="3"/>
      <c r="K10" s="3"/>
      <c r="L10" s="3"/>
      <c r="M10" s="3"/>
      <c r="N10" s="3"/>
      <c r="O10" s="3"/>
      <c r="P10" s="3"/>
    </row>
    <row r="11" spans="1:16" x14ac:dyDescent="0.35">
      <c r="A11" s="3"/>
      <c r="B11" s="3"/>
      <c r="C11" s="3"/>
      <c r="D11" s="3"/>
      <c r="E11" s="3"/>
      <c r="F11" s="3"/>
      <c r="G11" s="3"/>
      <c r="H11" s="3"/>
      <c r="I11" s="3"/>
      <c r="J11" s="3"/>
      <c r="K11" s="3"/>
      <c r="L11" s="3"/>
      <c r="M11" s="3"/>
      <c r="N11" s="3"/>
      <c r="O11" s="3"/>
      <c r="P11" s="3"/>
    </row>
    <row r="12" spans="1:16" x14ac:dyDescent="0.35">
      <c r="A12" s="3"/>
      <c r="B12" s="3"/>
      <c r="C12" s="3"/>
      <c r="D12" s="3"/>
      <c r="E12" s="3"/>
      <c r="F12" s="3"/>
      <c r="G12" s="3"/>
      <c r="H12" s="3"/>
      <c r="I12" s="3"/>
      <c r="J12" s="3"/>
      <c r="K12" s="3"/>
      <c r="L12" s="3"/>
      <c r="M12" s="3"/>
      <c r="N12" s="3"/>
      <c r="O12" s="3"/>
      <c r="P12" s="3"/>
    </row>
    <row r="13" spans="1:16" x14ac:dyDescent="0.35">
      <c r="A13" s="3"/>
      <c r="B13" s="3"/>
      <c r="C13" s="3"/>
      <c r="D13" s="3"/>
      <c r="E13" s="3"/>
      <c r="F13" s="3"/>
      <c r="G13" s="3"/>
      <c r="H13" s="3"/>
      <c r="I13" s="3"/>
      <c r="J13" s="3"/>
      <c r="K13" s="3"/>
      <c r="L13" s="3"/>
      <c r="M13" s="3"/>
      <c r="N13" s="3"/>
      <c r="O13" s="3"/>
      <c r="P13" s="3"/>
    </row>
    <row r="14" spans="1:16" x14ac:dyDescent="0.35">
      <c r="A14" s="3"/>
      <c r="B14" s="3"/>
      <c r="C14" s="3"/>
      <c r="D14" s="3"/>
      <c r="E14" s="3"/>
      <c r="F14" s="3"/>
      <c r="G14" s="3"/>
      <c r="H14" s="3"/>
      <c r="I14" s="3"/>
      <c r="J14" s="3"/>
      <c r="K14" s="3"/>
      <c r="L14" s="3"/>
      <c r="M14" s="3"/>
      <c r="N14" s="3"/>
      <c r="O14" s="3"/>
      <c r="P14" s="3"/>
    </row>
    <row r="15" spans="1:16" x14ac:dyDescent="0.35">
      <c r="A15" s="3"/>
      <c r="B15" s="3"/>
      <c r="C15" s="3"/>
      <c r="D15" s="3"/>
      <c r="E15" s="3"/>
      <c r="F15" s="3"/>
      <c r="G15" s="3"/>
      <c r="H15" s="3"/>
      <c r="I15" s="3"/>
      <c r="J15" s="3"/>
      <c r="K15" s="3"/>
      <c r="L15" s="3"/>
      <c r="M15" s="3"/>
      <c r="N15" s="3"/>
      <c r="O15" s="3"/>
      <c r="P15" s="3"/>
    </row>
    <row r="16" spans="1:16" x14ac:dyDescent="0.35">
      <c r="A16" s="3"/>
      <c r="B16" s="3"/>
      <c r="C16" s="3"/>
      <c r="D16" s="3"/>
      <c r="E16" s="3"/>
      <c r="F16" s="3"/>
      <c r="G16" s="3"/>
      <c r="H16" s="3"/>
      <c r="I16" s="3"/>
      <c r="J16" s="3"/>
      <c r="K16" s="3"/>
      <c r="L16" s="3" t="s">
        <v>4</v>
      </c>
      <c r="M16" s="3"/>
      <c r="N16" s="3"/>
      <c r="O16" s="3"/>
      <c r="P16" s="3"/>
    </row>
    <row r="17" spans="1:19" x14ac:dyDescent="0.35">
      <c r="A17" s="3"/>
      <c r="B17" s="3"/>
      <c r="C17" s="3"/>
      <c r="D17" s="3"/>
      <c r="E17" s="3"/>
      <c r="F17" s="3"/>
      <c r="G17" s="3"/>
      <c r="H17" s="3"/>
      <c r="I17" s="3"/>
      <c r="J17" s="3"/>
      <c r="K17" s="3"/>
      <c r="L17" s="3"/>
      <c r="M17" s="3"/>
      <c r="N17" s="3"/>
      <c r="O17" s="3"/>
      <c r="P17" s="3"/>
    </row>
    <row r="18" spans="1:19" x14ac:dyDescent="0.35">
      <c r="A18" s="3"/>
      <c r="B18" s="3"/>
      <c r="C18" s="3"/>
      <c r="D18" s="3"/>
      <c r="E18" s="3"/>
      <c r="F18" s="3"/>
      <c r="G18" s="3"/>
      <c r="H18" s="3"/>
      <c r="I18" s="3"/>
      <c r="J18" s="3"/>
      <c r="K18" s="3"/>
      <c r="L18" s="3"/>
      <c r="M18" s="3"/>
      <c r="N18" s="3"/>
      <c r="O18" s="3"/>
      <c r="P18" s="3"/>
    </row>
    <row r="19" spans="1:19" x14ac:dyDescent="0.35">
      <c r="A19" s="3"/>
      <c r="B19" s="3"/>
      <c r="C19" s="3"/>
      <c r="D19" s="3"/>
      <c r="E19" s="3"/>
      <c r="F19" s="3"/>
      <c r="G19" s="3"/>
      <c r="H19" s="3"/>
      <c r="I19" s="3"/>
      <c r="J19" s="3"/>
      <c r="K19" s="3"/>
      <c r="L19" s="3"/>
      <c r="M19" s="3"/>
      <c r="N19" s="3"/>
      <c r="O19" s="3"/>
      <c r="P19" s="3"/>
    </row>
    <row r="20" spans="1:19" x14ac:dyDescent="0.35">
      <c r="A20" s="3"/>
      <c r="B20" s="3"/>
      <c r="C20" s="3"/>
      <c r="D20" s="3"/>
      <c r="E20" s="3"/>
      <c r="F20" s="3"/>
      <c r="G20" s="3"/>
      <c r="H20" s="3"/>
      <c r="I20" s="3"/>
      <c r="J20" s="3"/>
      <c r="K20" s="3"/>
      <c r="L20" s="3"/>
      <c r="M20" s="3"/>
      <c r="N20" s="3"/>
      <c r="O20" s="3"/>
      <c r="P20" s="3"/>
    </row>
    <row r="21" spans="1:19" x14ac:dyDescent="0.35">
      <c r="A21" s="3"/>
      <c r="B21" s="3"/>
      <c r="C21" s="3"/>
      <c r="D21" s="3"/>
      <c r="E21" s="3"/>
      <c r="F21" s="3"/>
      <c r="G21" s="3"/>
      <c r="H21" s="3"/>
      <c r="I21" s="3"/>
      <c r="J21" s="3"/>
      <c r="K21" s="3"/>
      <c r="L21" s="3"/>
      <c r="M21" s="3"/>
      <c r="N21" s="3"/>
      <c r="O21" s="3"/>
      <c r="P21" s="3"/>
      <c r="S21" t="s">
        <v>55</v>
      </c>
    </row>
    <row r="22" spans="1:19" x14ac:dyDescent="0.35">
      <c r="A22" s="3"/>
      <c r="B22" s="3"/>
      <c r="C22" s="3"/>
      <c r="D22" s="3"/>
      <c r="E22" s="3"/>
      <c r="F22" s="3"/>
      <c r="G22" s="3"/>
      <c r="H22" s="3"/>
      <c r="I22" s="3"/>
      <c r="J22" s="3"/>
      <c r="K22" s="3"/>
      <c r="L22" s="3"/>
      <c r="M22" s="3"/>
      <c r="N22" s="3"/>
      <c r="O22" s="3"/>
      <c r="P22" s="3"/>
    </row>
    <row r="23" spans="1:19" x14ac:dyDescent="0.35">
      <c r="A23" s="3"/>
      <c r="B23" s="3"/>
      <c r="C23" s="3"/>
      <c r="D23" s="3"/>
      <c r="E23" s="3"/>
      <c r="F23" s="3"/>
      <c r="G23" s="3" t="s">
        <v>4</v>
      </c>
      <c r="H23" s="3"/>
      <c r="I23" s="3"/>
      <c r="J23" s="3"/>
      <c r="K23" s="3"/>
      <c r="L23" s="3"/>
      <c r="M23" s="3"/>
      <c r="N23" s="3"/>
      <c r="O23" s="3"/>
      <c r="P23" s="3"/>
    </row>
    <row r="24" spans="1:19" x14ac:dyDescent="0.35">
      <c r="A24" s="3"/>
      <c r="B24" s="3"/>
      <c r="C24" s="3"/>
      <c r="D24" s="3"/>
      <c r="E24" s="3"/>
      <c r="F24" s="3"/>
      <c r="G24" s="3"/>
      <c r="H24" s="3"/>
      <c r="I24" s="3"/>
      <c r="J24" s="3"/>
      <c r="K24" s="3"/>
      <c r="L24" s="3"/>
      <c r="M24" s="3"/>
      <c r="N24" s="3"/>
      <c r="O24" s="3"/>
      <c r="P24" s="3"/>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42AC4-6FA4-4EE5-8D7D-6FE12738A20F}">
  <dimension ref="A23"/>
  <sheetViews>
    <sheetView workbookViewId="0"/>
  </sheetViews>
  <sheetFormatPr defaultRowHeight="14.5" x14ac:dyDescent="0.35"/>
  <sheetData>
    <row r="23" spans="1:1" x14ac:dyDescent="0.35">
      <c r="A23" s="3"/>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24707-A4F6-418F-88AE-B0131F05AF93}">
  <dimension ref="A20"/>
  <sheetViews>
    <sheetView workbookViewId="0">
      <selection activeCell="N11" sqref="N11"/>
    </sheetView>
  </sheetViews>
  <sheetFormatPr defaultRowHeight="14.5" x14ac:dyDescent="0.35"/>
  <sheetData>
    <row r="20" spans="1:1" ht="31" x14ac:dyDescent="0.7">
      <c r="A20" s="5" t="s">
        <v>18</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714A3C-BDE5-4D6E-A0FB-5E839D4F3284}">
  <dimension ref="A20:G20"/>
  <sheetViews>
    <sheetView workbookViewId="0">
      <selection activeCell="H20" sqref="H20"/>
    </sheetView>
  </sheetViews>
  <sheetFormatPr defaultRowHeight="14.5" x14ac:dyDescent="0.35"/>
  <sheetData>
    <row r="20" spans="1:7" ht="31" x14ac:dyDescent="0.7">
      <c r="A20" s="6" t="s">
        <v>19</v>
      </c>
      <c r="B20" s="7"/>
      <c r="C20" s="7"/>
      <c r="D20" s="7"/>
      <c r="E20" s="7"/>
      <c r="F20" s="7"/>
      <c r="G20" s="7"/>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Props1.xml><?xml version="1.0" encoding="utf-8"?>
<ds:datastoreItem xmlns:ds="http://schemas.openxmlformats.org/officeDocument/2006/customXml" ds:itemID="{E66A698F-10FD-4709-B6B6-A326C26A5926}">
  <ds:schemaRefs/>
</ds:datastoreItem>
</file>

<file path=customXml/itemProps2.xml><?xml version="1.0" encoding="utf-8"?>
<ds:datastoreItem xmlns:ds="http://schemas.openxmlformats.org/officeDocument/2006/customXml" ds:itemID="{318C49F8-36FA-405F-AEE5-0F5BFB22C0F3}">
  <ds:schemaRefs/>
</ds:datastoreItem>
</file>

<file path=customXml/itemProps3.xml><?xml version="1.0" encoding="utf-8"?>
<ds:datastoreItem xmlns:ds="http://schemas.openxmlformats.org/officeDocument/2006/customXml" ds:itemID="{9D3E915C-DFC8-4336-ADAC-B3F13AA79608}">
  <ds:schemaRefs/>
</ds:datastoreItem>
</file>

<file path=customXml/itemProps4.xml><?xml version="1.0" encoding="utf-8"?>
<ds:datastoreItem xmlns:ds="http://schemas.openxmlformats.org/officeDocument/2006/customXml" ds:itemID="{8B05FED4-D8AB-4813-A7B0-0C52F1B3B3CF}">
  <ds:schemaRefs/>
</ds:datastoreItem>
</file>

<file path=customXml/itemProps5.xml><?xml version="1.0" encoding="utf-8"?>
<ds:datastoreItem xmlns:ds="http://schemas.openxmlformats.org/officeDocument/2006/customXml" ds:itemID="{CB08200C-4931-4370-9029-892B22BEDF44}">
  <ds:schemaRefs/>
</ds:datastoreItem>
</file>

<file path=customXml/itemProps6.xml><?xml version="1.0" encoding="utf-8"?>
<ds:datastoreItem xmlns:ds="http://schemas.openxmlformats.org/officeDocument/2006/customXml" ds:itemID="{B5262857-4064-41E2-ABB1-27007A4A0A24}">
  <ds:schemaRefs/>
</ds:datastoreItem>
</file>

<file path=customXml/itemProps7.xml><?xml version="1.0" encoding="utf-8"?>
<ds:datastoreItem xmlns:ds="http://schemas.openxmlformats.org/officeDocument/2006/customXml" ds:itemID="{AA58A944-3DAE-4291-82A6-28ADF598970A}">
  <ds:schemaRefs/>
</ds:datastoreItem>
</file>

<file path=customXml/itemProps8.xml><?xml version="1.0" encoding="utf-8"?>
<ds:datastoreItem xmlns:ds="http://schemas.openxmlformats.org/officeDocument/2006/customXml" ds:itemID="{B85E6A74-34AF-4163-9225-E9C1C8362132}">
  <ds:schemaRefs/>
</ds:datastoreItem>
</file>

<file path=customXml/itemProps9.xml><?xml version="1.0" encoding="utf-8"?>
<ds:datastoreItem xmlns:ds="http://schemas.openxmlformats.org/officeDocument/2006/customXml" ds:itemID="{F314A9BB-4AD7-4CA1-8769-F90F7D1BCA63}">
  <ds:schemaRefs/>
</ds:datastoreItem>
</file>

<file path=customXml/itemProps10.xml><?xml version="1.0" encoding="utf-8"?>
<ds:datastoreItem xmlns:ds="http://schemas.openxmlformats.org/officeDocument/2006/customXml" ds:itemID="{9319FBF3-9E20-4D3F-8A6E-5397F5CED93E}">
  <ds:schemaRefs/>
</ds:datastoreItem>
</file>

<file path=customXml/itemProps11.xml><?xml version="1.0" encoding="utf-8"?>
<ds:datastoreItem xmlns:ds="http://schemas.openxmlformats.org/officeDocument/2006/customXml" ds:itemID="{4E7BC678-F844-44E5-866A-45F3D2C2BCE3}">
  <ds:schemaRefs>
    <ds:schemaRef ds:uri="http://schemas.microsoft.com/DataMashup"/>
  </ds:schemaRefs>
</ds:datastoreItem>
</file>

<file path=customXml/itemProps12.xml><?xml version="1.0" encoding="utf-8"?>
<ds:datastoreItem xmlns:ds="http://schemas.openxmlformats.org/officeDocument/2006/customXml" ds:itemID="{07DEC0EF-0C1C-4F81-8B3E-555E7574B0D0}">
  <ds:schemaRefs/>
</ds:datastoreItem>
</file>

<file path=customXml/itemProps13.xml><?xml version="1.0" encoding="utf-8"?>
<ds:datastoreItem xmlns:ds="http://schemas.openxmlformats.org/officeDocument/2006/customXml" ds:itemID="{3FA29760-ECA6-4CC9-B6E3-E55EB566C7E7}">
  <ds:schemaRefs/>
</ds:datastoreItem>
</file>

<file path=docMetadata/LabelInfo.xml><?xml version="1.0" encoding="utf-8"?>
<clbl:labelList xmlns:clbl="http://schemas.microsoft.com/office/2020/mipLabelMetadata">
  <clbl:label id="{e0793d39-0939-496d-b129-198edd916feb}" enabled="0" method="" siteId="{e0793d39-0939-496d-b129-198edd916fe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ER Daily no of patient</vt:lpstr>
      <vt:lpstr>Average Wait Time</vt:lpstr>
      <vt:lpstr>Satisfaction Score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Anand Mishra, Santosh</dc:creator>
  <cp:lastModifiedBy>Anand Mishra, Santosh</cp:lastModifiedBy>
  <dcterms:created xsi:type="dcterms:W3CDTF">2025-02-10T07:26:07Z</dcterms:created>
  <dcterms:modified xsi:type="dcterms:W3CDTF">2025-02-11T10:14:27Z</dcterms:modified>
</cp:coreProperties>
</file>